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c53b22163fce54a/Desktop/"/>
    </mc:Choice>
  </mc:AlternateContent>
  <xr:revisionPtr revIDLastSave="6" documentId="11_5D7CE887E81F1D504406C5C892C21BE332D7353B" xr6:coauthVersionLast="47" xr6:coauthVersionMax="47" xr10:uidLastSave="{857EB6FB-1659-4D62-A0E6-8E357B228A03}"/>
  <bookViews>
    <workbookView xWindow="-120" yWindow="-120" windowWidth="29040" windowHeight="15720" tabRatio="500" xr2:uid="{00000000-000D-0000-FFFF-FFFF00000000}"/>
  </bookViews>
  <sheets>
    <sheet name="Report Names  " sheetId="10" r:id="rId1"/>
    <sheet name="Instructions" sheetId="1" r:id="rId2"/>
    <sheet name="Sequencing " sheetId="9" r:id="rId3"/>
    <sheet name="0 - Config &amp; PNL" sheetId="2" r:id="rId4"/>
    <sheet name="BAnk Position " sheetId="11" r:id="rId5"/>
    <sheet name="Hotels" sheetId="3" r:id="rId6"/>
    <sheet name="FnB" sheetId="4" r:id="rId7"/>
    <sheet name="Mickys" sheetId="5" r:id="rId8"/>
    <sheet name="Rabbits" sheetId="6" r:id="rId9"/>
    <sheet name="Purosoul" sheetId="7" r:id="rId10"/>
    <sheet name="Settlement" sheetId="8" r:id="rId11"/>
  </sheets>
  <definedNames>
    <definedName name="_xlnm._FilterDatabase" localSheetId="0" hidden="1">'Report Names  '!$A$1:$D$1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8" i="3" l="1"/>
  <c r="H29" i="3"/>
  <c r="H28" i="3"/>
  <c r="H27" i="3"/>
  <c r="H26" i="3"/>
  <c r="H25" i="3"/>
  <c r="B19" i="8"/>
  <c r="H15" i="8"/>
  <c r="G15" i="8"/>
  <c r="F15" i="8"/>
  <c r="E15" i="8"/>
  <c r="D15" i="8"/>
  <c r="C15" i="8"/>
  <c r="B15" i="8"/>
  <c r="I14" i="8"/>
  <c r="I13" i="8"/>
  <c r="I12" i="8"/>
  <c r="I11" i="8"/>
  <c r="I10" i="8"/>
  <c r="I9" i="8"/>
  <c r="I8" i="8"/>
  <c r="I7" i="8"/>
  <c r="I6" i="8"/>
  <c r="I15" i="8" s="1"/>
  <c r="B20" i="8" s="1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2" i="7"/>
  <c r="H11" i="7"/>
  <c r="H10" i="7"/>
  <c r="H9" i="7"/>
  <c r="H8" i="7"/>
  <c r="H7" i="7"/>
  <c r="H6" i="7"/>
  <c r="H41" i="6"/>
  <c r="H40" i="6"/>
  <c r="H39" i="6"/>
  <c r="H35" i="6"/>
  <c r="H34" i="6"/>
  <c r="H33" i="6"/>
  <c r="H32" i="6"/>
  <c r="H31" i="6"/>
  <c r="H30" i="6"/>
  <c r="H29" i="6"/>
  <c r="H28" i="6"/>
  <c r="H27" i="6"/>
  <c r="H26" i="6"/>
  <c r="H22" i="6"/>
  <c r="H21" i="6"/>
  <c r="H20" i="6"/>
  <c r="H19" i="6"/>
  <c r="H18" i="6"/>
  <c r="H17" i="6"/>
  <c r="H16" i="6"/>
  <c r="H15" i="6"/>
  <c r="H11" i="6"/>
  <c r="H10" i="6"/>
  <c r="H9" i="6"/>
  <c r="H8" i="6"/>
  <c r="H7" i="6"/>
  <c r="H6" i="6"/>
  <c r="H37" i="5"/>
  <c r="H36" i="5"/>
  <c r="H35" i="5"/>
  <c r="H34" i="5"/>
  <c r="H33" i="5"/>
  <c r="H32" i="5"/>
  <c r="H31" i="5"/>
  <c r="H30" i="5"/>
  <c r="H29" i="5"/>
  <c r="H28" i="5"/>
  <c r="H27" i="5"/>
  <c r="H23" i="5"/>
  <c r="H22" i="5"/>
  <c r="H21" i="5"/>
  <c r="H20" i="5"/>
  <c r="H16" i="5"/>
  <c r="H15" i="5"/>
  <c r="H14" i="5"/>
  <c r="H13" i="5"/>
  <c r="H12" i="5"/>
  <c r="H11" i="5"/>
  <c r="H10" i="5"/>
  <c r="H9" i="5"/>
  <c r="H8" i="5"/>
  <c r="H7" i="5"/>
  <c r="H6" i="5"/>
  <c r="H50" i="4"/>
  <c r="H49" i="4"/>
  <c r="H48" i="4"/>
  <c r="H47" i="4"/>
  <c r="H46" i="4"/>
  <c r="H45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4" i="4"/>
  <c r="H23" i="4"/>
  <c r="H22" i="4"/>
  <c r="H21" i="4"/>
  <c r="H20" i="4"/>
  <c r="H19" i="4"/>
  <c r="H15" i="4"/>
  <c r="H14" i="4"/>
  <c r="H13" i="4"/>
  <c r="H12" i="4"/>
  <c r="H11" i="4"/>
  <c r="H10" i="4"/>
  <c r="H9" i="4"/>
  <c r="H8" i="4"/>
  <c r="H7" i="4"/>
  <c r="H6" i="4"/>
  <c r="H58" i="3"/>
  <c r="H57" i="3"/>
  <c r="H56" i="3"/>
  <c r="H55" i="3"/>
  <c r="H54" i="3"/>
  <c r="H53" i="3"/>
  <c r="H43" i="3"/>
  <c r="H42" i="3"/>
  <c r="H49" i="3"/>
  <c r="H48" i="3"/>
  <c r="H47" i="3"/>
  <c r="H40" i="3"/>
  <c r="H39" i="3"/>
  <c r="H37" i="3"/>
  <c r="H36" i="3"/>
  <c r="H32" i="3"/>
  <c r="H31" i="3"/>
  <c r="H30" i="3"/>
  <c r="H24" i="3"/>
  <c r="H23" i="3"/>
  <c r="H22" i="3"/>
  <c r="H21" i="3"/>
  <c r="H20" i="3"/>
  <c r="H19" i="3"/>
  <c r="H15" i="3"/>
  <c r="H14" i="3"/>
  <c r="H13" i="3"/>
  <c r="H12" i="3"/>
  <c r="H11" i="3"/>
  <c r="H10" i="3"/>
  <c r="H9" i="3"/>
  <c r="H8" i="3"/>
  <c r="H7" i="3"/>
  <c r="H6" i="3"/>
  <c r="J24" i="2"/>
  <c r="I24" i="2"/>
  <c r="C24" i="2"/>
  <c r="B24" i="2"/>
  <c r="H24" i="2" s="1"/>
  <c r="H23" i="2"/>
  <c r="F23" i="2"/>
  <c r="E23" i="2"/>
  <c r="D23" i="2"/>
  <c r="G23" i="2" s="1"/>
  <c r="H22" i="2"/>
  <c r="G22" i="2"/>
  <c r="F22" i="2"/>
  <c r="E22" i="2"/>
  <c r="D22" i="2"/>
  <c r="H21" i="2"/>
  <c r="G21" i="2"/>
  <c r="F21" i="2"/>
  <c r="E21" i="2"/>
  <c r="D21" i="2"/>
  <c r="H20" i="2"/>
  <c r="F20" i="2"/>
  <c r="E20" i="2"/>
  <c r="D20" i="2"/>
  <c r="G20" i="2" s="1"/>
  <c r="H19" i="2"/>
  <c r="F19" i="2"/>
  <c r="E19" i="2"/>
  <c r="D19" i="2"/>
  <c r="G19" i="2" s="1"/>
  <c r="H18" i="2"/>
  <c r="G18" i="2"/>
  <c r="F18" i="2"/>
  <c r="F24" i="2" s="1"/>
  <c r="E18" i="2"/>
  <c r="D18" i="2"/>
  <c r="H17" i="2"/>
  <c r="G17" i="2"/>
  <c r="F17" i="2"/>
  <c r="E17" i="2"/>
  <c r="D17" i="2"/>
  <c r="D24" i="2" s="1"/>
  <c r="C12" i="2"/>
  <c r="C11" i="2"/>
  <c r="C10" i="2"/>
  <c r="C9" i="2"/>
  <c r="C8" i="2"/>
  <c r="C7" i="2"/>
  <c r="C6" i="2"/>
  <c r="G24" i="2" l="1"/>
  <c r="B21" i="8"/>
  <c r="C21" i="8" s="1"/>
  <c r="E24" i="2"/>
</calcChain>
</file>

<file path=xl/sharedStrings.xml><?xml version="1.0" encoding="utf-8"?>
<sst xmlns="http://schemas.openxmlformats.org/spreadsheetml/2006/main" count="1053" uniqueCount="386">
  <si>
    <t>HOW TO USE THIS KPI FRAMEWORK</t>
  </si>
  <si>
    <t>STEP 1 — SET FIXED COSTS</t>
  </si>
  <si>
    <t>Go to '0 - Config &amp; PNL' sheet. Enter daily fixed cost per unit in Column B. This feeds the P&amp;L automatically.</t>
  </si>
  <si>
    <t>STEP 2 — SET AOP TARGETS</t>
  </si>
  <si>
    <t>In each unit sheet, Column D (AOP Target) is pre-filled where known from AOP docs. Update annually.</t>
  </si>
  <si>
    <t>STEP 3 — DAILY DATA ENTRY</t>
  </si>
  <si>
    <t>Fill blue cells (Column E = Today Actual) each day. Agent will do this automatically once connected.</t>
  </si>
  <si>
    <t>STEP 4 — MTD &amp; YTD</t>
  </si>
  <si>
    <t>Columns F and G — update these cumulatively. Agent will auto-accumulate once live.</t>
  </si>
  <si>
    <t>STEP 5 — FLAG COLUMN</t>
  </si>
  <si>
    <t>Column H auto-calculates: OUTPERFORM / ON TRACK / WATCH / ACTION based on actual vs AOP target.</t>
  </si>
  <si>
    <t>STEP 6 — P&amp;L</t>
  </si>
  <si>
    <t>Go to '0 - Config &amp; PNL'. Enter Revenue and Purchases in blue cells. Net Profit calculates automatically.</t>
  </si>
  <si>
    <t>STEP 7 — SETTLEMENT</t>
  </si>
  <si>
    <t>Go to 'Settlement' sheet. Fill blue cells daily. Group Total and Reconciliation auto-calculate.</t>
  </si>
  <si>
    <t>COLOUR CODE</t>
  </si>
  <si>
    <t>Blue text = Input cell (you fill this)</t>
  </si>
  <si>
    <t>Black text = Formula cell (auto-calculated — do not edit)</t>
  </si>
  <si>
    <t>Green highlight = On Track vs AOP</t>
  </si>
  <si>
    <t>Amber highlight = Watch (5–15% below target)</t>
  </si>
  <si>
    <t>Red highlight = Action Needed (&gt;15% below target)</t>
  </si>
  <si>
    <t>SHEETS IN THIS WORKBOOK</t>
  </si>
  <si>
    <t>0 - Config &amp; PNL</t>
  </si>
  <si>
    <t>Fixed cost inputs + Daily estimated P&amp;L for all units</t>
  </si>
  <si>
    <t>Hotels</t>
  </si>
  <si>
    <t>CP Nagpur &amp; NM — Rooms, F&amp;B Outlets, Banquets, Forecasts, Function List</t>
  </si>
  <si>
    <t>FnB</t>
  </si>
  <si>
    <t>Pablo &amp; Dali — Sales, APC, Covers, Costs, Top Items, Dali AOP KPIs</t>
  </si>
  <si>
    <t>Mickys</t>
  </si>
  <si>
    <t>Leads, Orders, SKU-wise Sales, City breakdown</t>
  </si>
  <si>
    <t>Rabbits</t>
  </si>
  <si>
    <t>Revenue, Orders, Platform split, Category breakdown</t>
  </si>
  <si>
    <t>Purosoul</t>
  </si>
  <si>
    <t>Revenue, RM Cost, SKU Production &amp; Dispatch</t>
  </si>
  <si>
    <t>Settlement</t>
  </si>
  <si>
    <t>Collection by mode — all units — Reconciliation</t>
  </si>
  <si>
    <t>Instructions</t>
  </si>
  <si>
    <t>This sheet</t>
  </si>
  <si>
    <t>CENTRE POINT HOSPITALITY  —  Daily Flash Report KPI Framework</t>
  </si>
  <si>
    <t>Configuration Sheet  |  Fixed Cost Inputs  |  Unit P&amp;L</t>
  </si>
  <si>
    <t>FIXED COST INPUTS  (Enter once — update when costs change)</t>
  </si>
  <si>
    <t>Unit</t>
  </si>
  <si>
    <t>Daily Fixed Cost (Rs.)</t>
  </si>
  <si>
    <t>Monthly Fixed Cost (Rs.)</t>
  </si>
  <si>
    <t>Components / Notes</t>
  </si>
  <si>
    <t>Last Updated</t>
  </si>
  <si>
    <t>CP Nagpur — Hotel</t>
  </si>
  <si>
    <t>Staff + Utilities + Lease + AMC + Admin</t>
  </si>
  <si>
    <t>CP Navi Mumbai — Hotel</t>
  </si>
  <si>
    <t>Pablo</t>
  </si>
  <si>
    <t>Staff + Utilities + Rent + Admin</t>
  </si>
  <si>
    <t>Dali</t>
  </si>
  <si>
    <t>Staff + Packaging + Platform fees + Utilities</t>
  </si>
  <si>
    <t>Micky's</t>
  </si>
  <si>
    <t>Staff + Logistics + Packaging + Admin</t>
  </si>
  <si>
    <t>Staff + Power + Machinery AMC + Admin</t>
  </si>
  <si>
    <t>ESTIMATED DAILY P&amp;L  (Auto-calculated from Flash Report Data Sheet)</t>
  </si>
  <si>
    <t>Revenue Today</t>
  </si>
  <si>
    <t>Purchases Today</t>
  </si>
  <si>
    <t>Gross Profit</t>
  </si>
  <si>
    <t>GP %</t>
  </si>
  <si>
    <t>Fixed Cost (Daily)</t>
  </si>
  <si>
    <t>Estimated Net Profit</t>
  </si>
  <si>
    <t>Net Margin %</t>
  </si>
  <si>
    <t>MTD Net Profit</t>
  </si>
  <si>
    <t>YTD Net Profit</t>
  </si>
  <si>
    <t>GROUP TOTAL</t>
  </si>
  <si>
    <t>LEGEND</t>
  </si>
  <si>
    <t>Blue cell = Input (enter data here)</t>
  </si>
  <si>
    <t>Grey cell = Formula (auto-calculated)</t>
  </si>
  <si>
    <t>Green cell = On Track (≥ target)</t>
  </si>
  <si>
    <t>Amber cell = Watch (5–15% below target)</t>
  </si>
  <si>
    <t>Red cell = Action Needed (&gt;15% below)</t>
  </si>
  <si>
    <t>CENTRE POINT HOSPITALITY  —  HOTELS  |  CP NAGPUR &amp; CP NAVI MUMBAI</t>
  </si>
  <si>
    <t>Flash Report KPI Framework  |  Source: IDS Night Audit Email  |  MTD &amp; YTD tracked</t>
  </si>
  <si>
    <t>ROOM REVENUE &amp; OCCUPANCY</t>
  </si>
  <si>
    <t>KPI</t>
  </si>
  <si>
    <t>Frequency</t>
  </si>
  <si>
    <t>AOP Target</t>
  </si>
  <si>
    <t>Today Actual</t>
  </si>
  <si>
    <t>MTD Actual</t>
  </si>
  <si>
    <t>YTD Actual</t>
  </si>
  <si>
    <t>Flag vs Target</t>
  </si>
  <si>
    <t>Data Source</t>
  </si>
  <si>
    <t>Notes</t>
  </si>
  <si>
    <t>Occupancy % — Today</t>
  </si>
  <si>
    <t>Daily</t>
  </si>
  <si>
    <t>%</t>
  </si>
  <si>
    <t>IDS Night Audit Email</t>
  </si>
  <si>
    <t>Target per AOP; flag if below 85%</t>
  </si>
  <si>
    <t>Occupancy % — Tomorrow (Forecast)</t>
  </si>
  <si>
    <t>IDS Night Audit / PMS</t>
  </si>
  <si>
    <t>Forecasted — fill from PMS pickup report</t>
  </si>
  <si>
    <t>Arrivals for the Day</t>
  </si>
  <si>
    <t>Rooms</t>
  </si>
  <si>
    <t>No. of check-ins today</t>
  </si>
  <si>
    <t>Departures for the Day</t>
  </si>
  <si>
    <t>No. of check-outs today</t>
  </si>
  <si>
    <t>Rooms Sold</t>
  </si>
  <si>
    <t>Absolute count</t>
  </si>
  <si>
    <t>Room Revenue</t>
  </si>
  <si>
    <t>Rs.</t>
  </si>
  <si>
    <t>Actual vs AOP daily budget</t>
  </si>
  <si>
    <t>ARR (Average Room Rate)</t>
  </si>
  <si>
    <t>RevPAR</t>
  </si>
  <si>
    <t>Formula: Room Revenue / Total Available Rooms</t>
  </si>
  <si>
    <t>Total Room Revenue MTD</t>
  </si>
  <si>
    <t>Monthly</t>
  </si>
  <si>
    <t>Cumulative month-to-date</t>
  </si>
  <si>
    <t>Total Room Revenue YTD</t>
  </si>
  <si>
    <t>Yearly</t>
  </si>
  <si>
    <t>Cumulative year-to-date</t>
  </si>
  <si>
    <t>F&amp;B — HOTEL OUTLETS (A)</t>
  </si>
  <si>
    <t>F&amp;B Outlet Revenue — Total (A)</t>
  </si>
  <si>
    <t>All outlet sales combined</t>
  </si>
  <si>
    <t>Meeting Point — Sales</t>
  </si>
  <si>
    <t>Nagpur only</t>
  </si>
  <si>
    <t>Freakk — Sales</t>
  </si>
  <si>
    <t>Bougainvillea — Sales</t>
  </si>
  <si>
    <t>Both properties</t>
  </si>
  <si>
    <t>High Steaks — Sales</t>
  </si>
  <si>
    <t>In Room Dining — Sales</t>
  </si>
  <si>
    <t>Pax</t>
  </si>
  <si>
    <t>F&amp;B Outlet Revenue MTD</t>
  </si>
  <si>
    <t>F&amp;B Outlet Revenue YTD</t>
  </si>
  <si>
    <t>BANQUETS (B) — INCLUDING FUNCTION LIST</t>
  </si>
  <si>
    <t>Banquet Revenue — Today</t>
  </si>
  <si>
    <t>Total banquet sales today</t>
  </si>
  <si>
    <t>Number of Functions Today</t>
  </si>
  <si>
    <t>Count</t>
  </si>
  <si>
    <t>No. of banquet events today</t>
  </si>
  <si>
    <t>Banquet Revenue MTD</t>
  </si>
  <si>
    <t>Banquet Revenue YTD</t>
  </si>
  <si>
    <t>TOTAL HOTEL REVENUE</t>
  </si>
  <si>
    <t>Total Hotel Revenue (Room+F&amp;B+Banq)</t>
  </si>
  <si>
    <t>Grand total — all revenue streams</t>
  </si>
  <si>
    <t>Total Hotel Revenue MTD</t>
  </si>
  <si>
    <t>Total Hotel Revenue YTD</t>
  </si>
  <si>
    <t>Food Cost % (Hotel F&amp;B)</t>
  </si>
  <si>
    <t>% max</t>
  </si>
  <si>
    <t>Purchase Sheet</t>
  </si>
  <si>
    <t>Flag if above threshold</t>
  </si>
  <si>
    <t>Liquor Cost % (Hotel F&amp;B)</t>
  </si>
  <si>
    <t>MARKET SEGMENT — OCCUPANCY</t>
  </si>
  <si>
    <t>Corporate Segment — Rooms</t>
  </si>
  <si>
    <t>FIT / Leisure — Rooms</t>
  </si>
  <si>
    <t>OTA (MMT/Booking.com) — Rooms</t>
  </si>
  <si>
    <t>Walk-ins — Rooms</t>
  </si>
  <si>
    <t>Group Bookings — Rooms</t>
  </si>
  <si>
    <t>Cancellations / No-shows</t>
  </si>
  <si>
    <t>IDS (TBC)</t>
  </si>
  <si>
    <t>Source to confirm with IDS team</t>
  </si>
  <si>
    <t>Market Segment</t>
  </si>
  <si>
    <t>Pax / Covers</t>
  </si>
  <si>
    <t>Hall / Venue</t>
  </si>
  <si>
    <t>Revenue (Rs.)</t>
  </si>
  <si>
    <t>Status</t>
  </si>
  <si>
    <t>CENTRE POINT HOSPITALITY  —  F&amp;B OUTLETS  |  PABLO &amp; DALI</t>
  </si>
  <si>
    <t>Flash Report KPI Framework  |  Source: Pet Pooja EOD Email  |  MTD &amp; YTD tracked</t>
  </si>
  <si>
    <t>PABLO — SALES</t>
  </si>
  <si>
    <t>Gross Sales</t>
  </si>
  <si>
    <t>Pet Pooja EOD Email</t>
  </si>
  <si>
    <t>Covers (Pax)</t>
  </si>
  <si>
    <t>Average Bill Value</t>
  </si>
  <si>
    <t>Formula: Gross Sales / Covers</t>
  </si>
  <si>
    <t>Lunch Revenue</t>
  </si>
  <si>
    <t>Dinner Revenue</t>
  </si>
  <si>
    <t>Top Item 1 — Name &amp; Sales</t>
  </si>
  <si>
    <t>Text</t>
  </si>
  <si>
    <t>e.g. Signature Steak — Rs.8,400</t>
  </si>
  <si>
    <t>Top Item 2 — Name &amp; Sales</t>
  </si>
  <si>
    <t>Top Item 3 — Name &amp; Sales</t>
  </si>
  <si>
    <t>Pablo Gross Sales MTD</t>
  </si>
  <si>
    <t>Pablo Gross Sales YTD</t>
  </si>
  <si>
    <t>PABLO — COST</t>
  </si>
  <si>
    <t>Food Cost %</t>
  </si>
  <si>
    <t>Flag if above 40%</t>
  </si>
  <si>
    <t>Liquor Cost %</t>
  </si>
  <si>
    <t>Food Purchase — Today</t>
  </si>
  <si>
    <t>Liquor Purchase — Today</t>
  </si>
  <si>
    <t>Total Purchase MTD</t>
  </si>
  <si>
    <t>Total Purchase YTD</t>
  </si>
  <si>
    <t>DALI — SALES &amp; AOP KPIs</t>
  </si>
  <si>
    <t>AOP: 106 covers x Rs.950 APC</t>
  </si>
  <si>
    <t>APC (Avg Per Cover)</t>
  </si>
  <si>
    <t>AOP Target: Rs.950</t>
  </si>
  <si>
    <t>Covers per Day</t>
  </si>
  <si>
    <t>AOP Target: 106</t>
  </si>
  <si>
    <t>Table Turnover</t>
  </si>
  <si>
    <t>Tables</t>
  </si>
  <si>
    <t>AOP Target: 50/day</t>
  </si>
  <si>
    <t>Beverage Attach Rate</t>
  </si>
  <si>
    <t>Bev/Cov</t>
  </si>
  <si>
    <t>Beverages sold / Covers</t>
  </si>
  <si>
    <t>Core 4 Revenue %</t>
  </si>
  <si>
    <t>Weekly</t>
  </si>
  <si>
    <t>Target: 65–75%</t>
  </si>
  <si>
    <t>Combo Sales %</t>
  </si>
  <si>
    <t>Target: below 28%</t>
  </si>
  <si>
    <t>Dali Gross Sales MTD</t>
  </si>
  <si>
    <t>Dali Gross Sales YTD</t>
  </si>
  <si>
    <t>DALI — COST (AOP 2026-27)</t>
  </si>
  <si>
    <t>AOP: below 28%</t>
  </si>
  <si>
    <t>AOP: below 30%</t>
  </si>
  <si>
    <t>CENTRE POINT HOSPITALITY  —  MICKY'S BY CP FOODS  |  B2B HORECA SALES</t>
  </si>
  <si>
    <t>Flash Report KPI Framework  |  Source: Google Sheet — Micky's Leads  |  MTD &amp; YTD tracked</t>
  </si>
  <si>
    <t>LEADS PIPELINE</t>
  </si>
  <si>
    <t>New Leads Today</t>
  </si>
  <si>
    <t>Micky's Leads Sheet</t>
  </si>
  <si>
    <t>Target: 5+ leads/day</t>
  </si>
  <si>
    <t>Leads Contacted Today</t>
  </si>
  <si>
    <t>Actioned today</t>
  </si>
  <si>
    <t>Leads Converted to Orders</t>
  </si>
  <si>
    <t>Conversion Rate</t>
  </si>
  <si>
    <t>Formula: Converted / New Leads</t>
  </si>
  <si>
    <t>Pipeline Value (Open)</t>
  </si>
  <si>
    <t>Estimated value of open leads</t>
  </si>
  <si>
    <t>Leads by City — Nagpur</t>
  </si>
  <si>
    <t>Leads by City — Pune</t>
  </si>
  <si>
    <t>Leads by City — Mumbai</t>
  </si>
  <si>
    <t>Leads by City — Delhi</t>
  </si>
  <si>
    <t>Total Leads MTD</t>
  </si>
  <si>
    <t>Total Leads YTD</t>
  </si>
  <si>
    <t>ORDERS &amp; REVENUE</t>
  </si>
  <si>
    <t>Orders Confirmed Today</t>
  </si>
  <si>
    <t>Order Revenue Today</t>
  </si>
  <si>
    <t>Order Revenue MTD</t>
  </si>
  <si>
    <t>Order Revenue YTD</t>
  </si>
  <si>
    <t>SKU-WISE SALES</t>
  </si>
  <si>
    <t>Makhani Gravy — Units Sold</t>
  </si>
  <si>
    <t>Units</t>
  </si>
  <si>
    <t>Makhani Gravy — Revenue</t>
  </si>
  <si>
    <t>Korma Base — Units Sold</t>
  </si>
  <si>
    <t>Korma Base — Revenue</t>
  </si>
  <si>
    <t>Achari Sauce — Units Sold</t>
  </si>
  <si>
    <t>Achari Sauce — Revenue</t>
  </si>
  <si>
    <t>Makhani Gravy MTD Units</t>
  </si>
  <si>
    <t>Korma Base MTD Units</t>
  </si>
  <si>
    <t>Achari Sauce MTD Units</t>
  </si>
  <si>
    <t>Total SKU Revenue MTD</t>
  </si>
  <si>
    <t>Total SKU Revenue YTD</t>
  </si>
  <si>
    <t>CENTRE POINT HOSPITALITY  —  RABBITS CLOUD KITCHEN  |  CLOUD KITCHEN</t>
  </si>
  <si>
    <t>Flash Report KPI Framework  |  Source: EOD Email — Rabbits POS  |  MTD &amp; YTD tracked</t>
  </si>
  <si>
    <t>SALES</t>
  </si>
  <si>
    <t>Total Revenue Today</t>
  </si>
  <si>
    <t>Rabbits POS EOD Email</t>
  </si>
  <si>
    <t>Total Orders Today</t>
  </si>
  <si>
    <t>Average Order Value</t>
  </si>
  <si>
    <t>Formula: Revenue / Orders</t>
  </si>
  <si>
    <t>Cancelled Orders</t>
  </si>
  <si>
    <t>Flag if &gt;8</t>
  </si>
  <si>
    <t>Total Revenue MTD</t>
  </si>
  <si>
    <t>Total Revenue YTD</t>
  </si>
  <si>
    <t>PLATFORM SPLIT</t>
  </si>
  <si>
    <t>Swiggy — Revenue</t>
  </si>
  <si>
    <t>Swiggy — Orders</t>
  </si>
  <si>
    <t>Zomato — Revenue</t>
  </si>
  <si>
    <t>Zomato — Orders</t>
  </si>
  <si>
    <t>Direct — Revenue</t>
  </si>
  <si>
    <t>Direct — Orders</t>
  </si>
  <si>
    <t>Swiggy Revenue MTD</t>
  </si>
  <si>
    <t>Zomato Revenue MTD</t>
  </si>
  <si>
    <t>CATEGORY BREAKDOWN</t>
  </si>
  <si>
    <t>Biryani — Orders</t>
  </si>
  <si>
    <t>Biryani — Revenue</t>
  </si>
  <si>
    <t>Rolls — Orders</t>
  </si>
  <si>
    <t>Rolls — Revenue</t>
  </si>
  <si>
    <t>Kebabs — Orders</t>
  </si>
  <si>
    <t>Kebabs — Revenue</t>
  </si>
  <si>
    <t>Bowls — Orders</t>
  </si>
  <si>
    <t>Bowls — Revenue</t>
  </si>
  <si>
    <t>Biryani Revenue MTD</t>
  </si>
  <si>
    <t>Bowls Revenue MTD</t>
  </si>
  <si>
    <t>COST</t>
  </si>
  <si>
    <t>Purchase / RM Cost Today</t>
  </si>
  <si>
    <t>Packaging + ingredients</t>
  </si>
  <si>
    <t>Purchase Cost MTD</t>
  </si>
  <si>
    <t>Purchase Cost YTD</t>
  </si>
  <si>
    <t>CENTRE POINT HOSPITALITY  —  PUROSOUL  |  PACKAGED DRINKING WATER</t>
  </si>
  <si>
    <t>Flash Report KPI Framework  |  Source: TBC — Source to confirm  |  MTD &amp; YTD tracked</t>
  </si>
  <si>
    <t>REVENUE &amp; COST</t>
  </si>
  <si>
    <t>TBC — Source to confirm</t>
  </si>
  <si>
    <t>RM / Purchase Cost Today</t>
  </si>
  <si>
    <t>RM Cost %</t>
  </si>
  <si>
    <t>Formula: Purchase / Revenue</t>
  </si>
  <si>
    <t>SKU — PRODUCTION &amp; DISPATCH</t>
  </si>
  <si>
    <t>500ml — Cases Produced</t>
  </si>
  <si>
    <t>Cases</t>
  </si>
  <si>
    <t>500ml — Cases Dispatched</t>
  </si>
  <si>
    <t>500ml — Closing Stock</t>
  </si>
  <si>
    <t>Formula: Produced - Dispatched</t>
  </si>
  <si>
    <t>1L — Cases Produced</t>
  </si>
  <si>
    <t>1L — Cases Dispatched</t>
  </si>
  <si>
    <t>1L — Closing Stock</t>
  </si>
  <si>
    <t>2L — Cases Produced</t>
  </si>
  <si>
    <t>2L — Cases Dispatched</t>
  </si>
  <si>
    <t>2L — Closing Stock</t>
  </si>
  <si>
    <t>20L Jar — Produced</t>
  </si>
  <si>
    <t>20L Jar — Dispatched</t>
  </si>
  <si>
    <t>20L Jar — Closing Stock</t>
  </si>
  <si>
    <t>Total Cases Dispatched MTD</t>
  </si>
  <si>
    <t>Total Cases Dispatched YTD</t>
  </si>
  <si>
    <t>SETTLEMENT SUMMARY  —  Collection by Mode, All Units</t>
  </si>
  <si>
    <t>How was today's revenue collected — unit-wise reconciliation</t>
  </si>
  <si>
    <t>DAILY COLLECTION BY MODE</t>
  </si>
  <si>
    <t>Settlement Mode</t>
  </si>
  <si>
    <t>CP Nagpur</t>
  </si>
  <si>
    <t>CP NM</t>
  </si>
  <si>
    <t>Group Total</t>
  </si>
  <si>
    <t>Cash</t>
  </si>
  <si>
    <t>Credit Card</t>
  </si>
  <si>
    <t>UPI</t>
  </si>
  <si>
    <t>City Ledger / Credit</t>
  </si>
  <si>
    <t>Zomato / Swiggy</t>
  </si>
  <si>
    <t>NEFT / Bank Transfer</t>
  </si>
  <si>
    <t>OTA Credit (MMT / Booking.com)</t>
  </si>
  <si>
    <t>Complementary</t>
  </si>
  <si>
    <t>Discounts / Staff</t>
  </si>
  <si>
    <t>UNIT TOTAL</t>
  </si>
  <si>
    <t>RECONCILIATION</t>
  </si>
  <si>
    <t>Item</t>
  </si>
  <si>
    <t>Amount (Rs.)</t>
  </si>
  <si>
    <t>Total Revenue Today (from all units)</t>
  </si>
  <si>
    <t>Total Settled (Group Total above)</t>
  </si>
  <si>
    <t>Difference</t>
  </si>
  <si>
    <t xml:space="preserve">Meeting Point — Covers </t>
  </si>
  <si>
    <t xml:space="preserve">Freakk —Covers </t>
  </si>
  <si>
    <t xml:space="preserve">Bougainvillea — Covers </t>
  </si>
  <si>
    <t xml:space="preserve">High Steaks — Covers </t>
  </si>
  <si>
    <t xml:space="preserve">In Room Dining — Covers </t>
  </si>
  <si>
    <t xml:space="preserve">Average Bill Value — Outlets Wise </t>
  </si>
  <si>
    <t xml:space="preserve">Banquet Covers </t>
  </si>
  <si>
    <t>No. of Covers today</t>
  </si>
  <si>
    <t>BANQUET FUNCTION LIST — TODAY  (Date: ___________)</t>
  </si>
  <si>
    <t xml:space="preserve">Session ( Breakfast , Lunch , Dinner ) </t>
  </si>
  <si>
    <t>BANQUET FUNCTION LIST — TOMORROW  (Date: ___________)</t>
  </si>
  <si>
    <t xml:space="preserve">Unit wise Estimated PNL </t>
  </si>
  <si>
    <t xml:space="preserve">Watch Out Flag summary </t>
  </si>
  <si>
    <t xml:space="preserve">Hotels Data </t>
  </si>
  <si>
    <t xml:space="preserve">FNB outlet Data </t>
  </si>
  <si>
    <t xml:space="preserve">Rabbit Data </t>
  </si>
  <si>
    <t xml:space="preserve">Micky's Data </t>
  </si>
  <si>
    <t xml:space="preserve">Purosoul Data </t>
  </si>
  <si>
    <t xml:space="preserve">Setttlement </t>
  </si>
  <si>
    <t xml:space="preserve">Notes by AI </t>
  </si>
  <si>
    <t xml:space="preserve">Sequence no. </t>
  </si>
  <si>
    <t xml:space="preserve">Topic </t>
  </si>
  <si>
    <t xml:space="preserve">Unit </t>
  </si>
  <si>
    <t xml:space="preserve">Software </t>
  </si>
  <si>
    <t xml:space="preserve">Report Name </t>
  </si>
  <si>
    <t xml:space="preserve">HCP </t>
  </si>
  <si>
    <t xml:space="preserve">IDS </t>
  </si>
  <si>
    <t xml:space="preserve">Night audit Report </t>
  </si>
  <si>
    <t xml:space="preserve">Occupancy analysis /operational report . </t>
  </si>
  <si>
    <t xml:space="preserve">Fnb Outlet report </t>
  </si>
  <si>
    <t xml:space="preserve">Banquet operation report </t>
  </si>
  <si>
    <t xml:space="preserve">CPNM </t>
  </si>
  <si>
    <t xml:space="preserve">Hotelogix </t>
  </si>
  <si>
    <t xml:space="preserve">Managers flash report </t>
  </si>
  <si>
    <t xml:space="preserve">Pablo </t>
  </si>
  <si>
    <t xml:space="preserve">Petpoooja </t>
  </si>
  <si>
    <t xml:space="preserve">API key </t>
  </si>
  <si>
    <t xml:space="preserve">Dali </t>
  </si>
  <si>
    <t xml:space="preserve">Petpooja </t>
  </si>
  <si>
    <t xml:space="preserve">Api Key </t>
  </si>
  <si>
    <t xml:space="preserve">Hcp </t>
  </si>
  <si>
    <t xml:space="preserve">Google sheet </t>
  </si>
  <si>
    <t xml:space="preserve">purchase Flash report </t>
  </si>
  <si>
    <t xml:space="preserve">Bank Position </t>
  </si>
  <si>
    <t xml:space="preserve">Unit name </t>
  </si>
  <si>
    <t xml:space="preserve">Cheques Issued </t>
  </si>
  <si>
    <t xml:space="preserve">Cheques in hand </t>
  </si>
  <si>
    <t xml:space="preserve">Nett balance available </t>
  </si>
  <si>
    <t xml:space="preserve">Actual Balance </t>
  </si>
  <si>
    <t xml:space="preserve">Group </t>
  </si>
  <si>
    <t xml:space="preserve">Bank position </t>
  </si>
  <si>
    <t xml:space="preserve">Rabbit </t>
  </si>
  <si>
    <t xml:space="preserve">Mickys </t>
  </si>
  <si>
    <t xml:space="preserve">Leads sheet </t>
  </si>
  <si>
    <t xml:space="preserve">Tally cloud </t>
  </si>
  <si>
    <t xml:space="preserve">Day end report </t>
  </si>
  <si>
    <t xml:space="preserve">Purosoul </t>
  </si>
  <si>
    <t xml:space="preserve">Google Drive </t>
  </si>
  <si>
    <t xml:space="preserve">Daily Flash report </t>
  </si>
  <si>
    <t xml:space="preserve">Sr no. </t>
  </si>
  <si>
    <t xml:space="preserve">Data Source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</si>
</sst>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8"/>
      <color rgb="FF1A1410"/>
      <name val="Arial"/>
      <charset val="1"/>
    </font>
    <font>
      <b/>
      <sz val="8"/>
      <color rgb="FF6F0E13"/>
      <name val="Arial"/>
      <charset val="1"/>
    </font>
    <font>
      <b/>
      <sz val="9"/>
      <color rgb="FF6F0E13"/>
      <name val="Arial"/>
      <charset val="1"/>
    </font>
    <font>
      <i/>
      <sz val="9"/>
      <color rgb="FFF5F1EB"/>
      <name val="Arial"/>
      <charset val="1"/>
    </font>
    <font>
      <b/>
      <sz val="8"/>
      <color rgb="FFFFFFFF"/>
      <name val="Arial"/>
      <charset val="1"/>
    </font>
    <font>
      <b/>
      <sz val="8"/>
      <color rgb="FF1A1410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b/>
      <sz val="9"/>
      <color rgb="FFF1C53E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2D7A4F"/>
      <name val="Arial"/>
      <charset val="1"/>
    </font>
    <font>
      <sz val="8"/>
      <color rgb="FFD4830A"/>
      <name val="Arial"/>
      <charset val="1"/>
    </font>
    <font>
      <sz val="8"/>
      <color rgb="FFC0392B"/>
      <name val="Arial"/>
      <charset val="1"/>
    </font>
    <font>
      <b/>
      <sz val="12"/>
      <color rgb="FFFFFFFF"/>
      <name val="Arial"/>
      <charset val="1"/>
    </font>
    <font>
      <i/>
      <sz val="8"/>
      <color rgb="FF8A7E78"/>
      <name val="Arial"/>
      <charset val="1"/>
    </font>
    <font>
      <sz val="8"/>
      <color rgb="FF8A7E78"/>
      <name val="Arial"/>
      <charset val="1"/>
    </font>
    <font>
      <b/>
      <sz val="9"/>
      <color rgb="FF1A1410"/>
      <name val="Arial"/>
      <charset val="1"/>
    </font>
    <font>
      <b/>
      <sz val="10"/>
      <color rgb="FF000000"/>
      <name val="Arial"/>
      <charset val="1"/>
    </font>
    <font>
      <b/>
      <sz val="9"/>
      <color rgb="FF2D7A4F"/>
      <name val="Arial"/>
      <charset val="1"/>
    </font>
    <font>
      <b/>
      <sz val="10"/>
      <color rgb="FF2D7A4F"/>
      <name val="Arial"/>
      <charset val="1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6F0E13"/>
        <bgColor rgb="FF4A0A0D"/>
      </patternFill>
    </fill>
    <fill>
      <patternFill patternType="solid">
        <fgColor rgb="FFF0E8E8"/>
        <bgColor rgb="FFF5F1EB"/>
      </patternFill>
    </fill>
    <fill>
      <patternFill patternType="solid">
        <fgColor rgb="FFFFFFFF"/>
        <bgColor rgb="FFF9F9F9"/>
      </patternFill>
    </fill>
    <fill>
      <patternFill patternType="solid">
        <fgColor rgb="FFEBF5FB"/>
        <bgColor rgb="FFEDF7F2"/>
      </patternFill>
    </fill>
    <fill>
      <patternFill patternType="solid">
        <fgColor rgb="FFF9F9F9"/>
        <bgColor rgb="FFFFFFFF"/>
      </patternFill>
    </fill>
    <fill>
      <patternFill patternType="solid">
        <fgColor rgb="FFF5F1EB"/>
        <bgColor rgb="FFFDF0EE"/>
      </patternFill>
    </fill>
    <fill>
      <patternFill patternType="solid">
        <fgColor rgb="FF4A0A0D"/>
        <bgColor rgb="FF6F0E13"/>
      </patternFill>
    </fill>
    <fill>
      <patternFill patternType="solid">
        <fgColor rgb="FFEDF7F2"/>
        <bgColor rgb="FFEBF5FB"/>
      </patternFill>
    </fill>
    <fill>
      <patternFill patternType="solid">
        <fgColor rgb="FFFEF6E4"/>
        <bgColor rgb="FFFDF0EE"/>
      </patternFill>
    </fill>
    <fill>
      <patternFill patternType="solid">
        <fgColor rgb="FFFDF0EE"/>
        <bgColor rgb="FFF5F1EB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6F0E13"/>
      </bottom>
      <diagonal/>
    </border>
    <border>
      <left style="thin">
        <color rgb="FFE8E0D5"/>
      </left>
      <right style="thin">
        <color rgb="FFE8E0D5"/>
      </right>
      <top style="thin">
        <color rgb="FFE8E0D5"/>
      </top>
      <bottom style="thin">
        <color rgb="FFE8E0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6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3" fontId="9" fillId="6" borderId="2" xfId="0" applyNumberFormat="1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3" fontId="10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/>
    <xf numFmtId="0" fontId="12" fillId="6" borderId="2" xfId="0" applyFont="1" applyFill="1" applyBorder="1"/>
    <xf numFmtId="0" fontId="13" fillId="9" borderId="2" xfId="0" applyFont="1" applyFill="1" applyBorder="1"/>
    <xf numFmtId="0" fontId="14" fillId="10" borderId="2" xfId="0" applyFont="1" applyFill="1" applyBorder="1"/>
    <xf numFmtId="0" fontId="15" fillId="11" borderId="2" xfId="0" applyFont="1" applyFill="1" applyBorder="1"/>
    <xf numFmtId="0" fontId="17" fillId="0" borderId="0" xfId="0" applyFont="1"/>
    <xf numFmtId="0" fontId="18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 wrapText="1"/>
    </xf>
    <xf numFmtId="0" fontId="18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left" vertical="center" wrapText="1"/>
    </xf>
    <xf numFmtId="3" fontId="8" fillId="5" borderId="2" xfId="0" applyNumberFormat="1" applyFont="1" applyFill="1" applyBorder="1" applyAlignment="1">
      <alignment horizontal="center" vertical="center"/>
    </xf>
    <xf numFmtId="3" fontId="19" fillId="6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3" fontId="20" fillId="6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3" fontId="22" fillId="9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23" fillId="0" borderId="3" xfId="0" applyFont="1" applyBorder="1"/>
    <xf numFmtId="0" fontId="23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F0E13"/>
      <rgbColor rgb="FF008000"/>
      <rgbColor rgb="FF000080"/>
      <rgbColor rgb="FF808000"/>
      <rgbColor rgb="FF800080"/>
      <rgbColor rgb="FF008080"/>
      <rgbColor rgb="FFF9F9F9"/>
      <rgbColor rgb="FF8A7E78"/>
      <rgbColor rgb="FF9999FF"/>
      <rgbColor rgb="FF993366"/>
      <rgbColor rgb="FFFEF6E4"/>
      <rgbColor rgb="FFEBF5FB"/>
      <rgbColor rgb="FF660066"/>
      <rgbColor rgb="FFFF8080"/>
      <rgbColor rgb="FF0066CC"/>
      <rgbColor rgb="FFE8E0D5"/>
      <rgbColor rgb="FF000080"/>
      <rgbColor rgb="FFFF00FF"/>
      <rgbColor rgb="FFFFFF00"/>
      <rgbColor rgb="FF00FFFF"/>
      <rgbColor rgb="FF800080"/>
      <rgbColor rgb="FF4A0A0D"/>
      <rgbColor rgb="FF008080"/>
      <rgbColor rgb="FF0000FF"/>
      <rgbColor rgb="FF00CCFF"/>
      <rgbColor rgb="FFEDF7F2"/>
      <rgbColor rgb="FFF5F1EB"/>
      <rgbColor rgb="FFFDF0EE"/>
      <rgbColor rgb="FF99CCFF"/>
      <rgbColor rgb="FFFF99CC"/>
      <rgbColor rgb="FFCC99FF"/>
      <rgbColor rgb="FFF0E8E8"/>
      <rgbColor rgb="FF3366FF"/>
      <rgbColor rgb="FF33CCCC"/>
      <rgbColor rgb="FF99CC00"/>
      <rgbColor rgb="FFF1C53E"/>
      <rgbColor rgb="FFD4830A"/>
      <rgbColor rgb="FFFF6600"/>
      <rgbColor rgb="FF666699"/>
      <rgbColor rgb="FF969696"/>
      <rgbColor rgb="FF003366"/>
      <rgbColor rgb="FF2D7A4F"/>
      <rgbColor rgb="FF003300"/>
      <rgbColor rgb="FF1A141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856C-0F0D-41C5-9E4B-02177A9E6F3C}">
  <dimension ref="A1:E17"/>
  <sheetViews>
    <sheetView tabSelected="1" zoomScale="130" zoomScaleNormal="130" workbookViewId="0">
      <selection activeCell="G19" sqref="G19"/>
    </sheetView>
  </sheetViews>
  <sheetFormatPr defaultRowHeight="15" x14ac:dyDescent="0.25"/>
  <cols>
    <col min="1" max="1" width="8.7109375" bestFit="1" customWidth="1"/>
    <col min="2" max="2" width="9.28515625" bestFit="1" customWidth="1"/>
    <col min="3" max="3" width="13.28515625" bestFit="1" customWidth="1"/>
    <col min="4" max="4" width="37.7109375" bestFit="1" customWidth="1"/>
  </cols>
  <sheetData>
    <row r="1" spans="1:5" x14ac:dyDescent="0.25">
      <c r="A1" s="42" t="s">
        <v>384</v>
      </c>
      <c r="B1" s="42" t="s">
        <v>347</v>
      </c>
      <c r="C1" s="42" t="s">
        <v>348</v>
      </c>
      <c r="D1" s="42" t="s">
        <v>349</v>
      </c>
      <c r="E1" s="43" t="s">
        <v>385</v>
      </c>
    </row>
    <row r="2" spans="1:5" x14ac:dyDescent="0.25">
      <c r="A2" s="41">
        <v>1</v>
      </c>
      <c r="B2" s="41" t="s">
        <v>356</v>
      </c>
      <c r="C2" s="41" t="s">
        <v>357</v>
      </c>
      <c r="D2" s="41" t="s">
        <v>358</v>
      </c>
    </row>
    <row r="3" spans="1:5" x14ac:dyDescent="0.25">
      <c r="A3" s="41">
        <v>2</v>
      </c>
      <c r="B3" s="41" t="s">
        <v>362</v>
      </c>
      <c r="C3" s="41" t="s">
        <v>363</v>
      </c>
      <c r="D3" s="41" t="s">
        <v>364</v>
      </c>
    </row>
    <row r="4" spans="1:5" x14ac:dyDescent="0.25">
      <c r="A4" s="41">
        <v>3</v>
      </c>
      <c r="B4" s="41" t="s">
        <v>362</v>
      </c>
      <c r="C4" s="41" t="s">
        <v>366</v>
      </c>
      <c r="D4" s="41" t="s">
        <v>367</v>
      </c>
    </row>
    <row r="5" spans="1:5" x14ac:dyDescent="0.25">
      <c r="A5" s="41">
        <v>4</v>
      </c>
      <c r="B5" s="41" t="s">
        <v>374</v>
      </c>
      <c r="C5" s="41" t="s">
        <v>366</v>
      </c>
      <c r="D5" s="41" t="s">
        <v>375</v>
      </c>
    </row>
    <row r="6" spans="1:5" x14ac:dyDescent="0.25">
      <c r="A6" s="41">
        <v>5</v>
      </c>
      <c r="B6" s="41" t="s">
        <v>350</v>
      </c>
      <c r="C6" s="41" t="s">
        <v>351</v>
      </c>
      <c r="D6" s="41" t="s">
        <v>352</v>
      </c>
    </row>
    <row r="7" spans="1:5" x14ac:dyDescent="0.25">
      <c r="A7" s="41">
        <v>6</v>
      </c>
      <c r="B7" s="41" t="s">
        <v>350</v>
      </c>
      <c r="C7" s="41" t="s">
        <v>351</v>
      </c>
      <c r="D7" s="41" t="s">
        <v>353</v>
      </c>
    </row>
    <row r="8" spans="1:5" x14ac:dyDescent="0.25">
      <c r="A8" s="41">
        <v>7</v>
      </c>
      <c r="B8" s="41" t="s">
        <v>350</v>
      </c>
      <c r="C8" s="41" t="s">
        <v>351</v>
      </c>
      <c r="D8" s="41" t="s">
        <v>354</v>
      </c>
    </row>
    <row r="9" spans="1:5" x14ac:dyDescent="0.25">
      <c r="A9" s="41">
        <v>8</v>
      </c>
      <c r="B9" s="41" t="s">
        <v>350</v>
      </c>
      <c r="C9" s="41" t="s">
        <v>351</v>
      </c>
      <c r="D9" s="41" t="s">
        <v>355</v>
      </c>
    </row>
    <row r="10" spans="1:5" x14ac:dyDescent="0.25">
      <c r="A10" s="41">
        <v>9</v>
      </c>
      <c r="B10" s="41" t="s">
        <v>365</v>
      </c>
      <c r="C10" s="41" t="s">
        <v>366</v>
      </c>
      <c r="D10" s="41" t="s">
        <v>367</v>
      </c>
    </row>
    <row r="11" spans="1:5" x14ac:dyDescent="0.25">
      <c r="A11" s="41">
        <v>10</v>
      </c>
      <c r="B11" s="41" t="s">
        <v>377</v>
      </c>
      <c r="C11" s="41" t="s">
        <v>366</v>
      </c>
      <c r="D11" s="41" t="s">
        <v>378</v>
      </c>
    </row>
    <row r="12" spans="1:5" x14ac:dyDescent="0.25">
      <c r="A12" s="41">
        <v>11</v>
      </c>
      <c r="B12" s="41" t="s">
        <v>377</v>
      </c>
      <c r="C12" s="41" t="s">
        <v>379</v>
      </c>
      <c r="D12" s="41" t="s">
        <v>380</v>
      </c>
    </row>
    <row r="13" spans="1:5" x14ac:dyDescent="0.25">
      <c r="A13" s="41">
        <v>12</v>
      </c>
      <c r="B13" s="41" t="s">
        <v>359</v>
      </c>
      <c r="C13" s="41" t="s">
        <v>360</v>
      </c>
      <c r="D13" s="41" t="s">
        <v>361</v>
      </c>
    </row>
    <row r="14" spans="1:5" x14ac:dyDescent="0.25">
      <c r="A14" s="41">
        <v>13</v>
      </c>
      <c r="B14" s="41" t="s">
        <v>359</v>
      </c>
      <c r="C14" s="41" t="s">
        <v>366</v>
      </c>
      <c r="D14" s="41" t="s">
        <v>367</v>
      </c>
    </row>
    <row r="15" spans="1:5" x14ac:dyDescent="0.25">
      <c r="A15" s="41">
        <v>14</v>
      </c>
      <c r="B15" s="41" t="s">
        <v>381</v>
      </c>
      <c r="C15" s="41" t="s">
        <v>382</v>
      </c>
      <c r="D15" s="41" t="s">
        <v>383</v>
      </c>
    </row>
    <row r="16" spans="1:5" x14ac:dyDescent="0.25">
      <c r="A16" s="41">
        <v>15</v>
      </c>
      <c r="B16" s="41" t="s">
        <v>381</v>
      </c>
      <c r="C16" s="41" t="s">
        <v>379</v>
      </c>
      <c r="D16" s="41" t="s">
        <v>380</v>
      </c>
    </row>
    <row r="17" spans="1:4" x14ac:dyDescent="0.25">
      <c r="A17" s="41">
        <v>16</v>
      </c>
      <c r="B17" s="41" t="s">
        <v>376</v>
      </c>
      <c r="C17" s="41" t="s">
        <v>363</v>
      </c>
      <c r="D17" s="41" t="s">
        <v>361</v>
      </c>
    </row>
  </sheetData>
  <autoFilter ref="A1:D1" xr:uid="{56B8856C-0F0D-41C5-9E4B-02177A9E6F3C}">
    <sortState xmlns:xlrd2="http://schemas.microsoft.com/office/spreadsheetml/2017/richdata2" ref="A2:D17">
      <sortCondition ref="B1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220" zoomScaleNormal="220" workbookViewId="0">
      <pane ySplit="2" topLeftCell="A18" activePane="bottomLeft" state="frozen"/>
      <selection pane="bottomLeft" sqref="A1:F1"/>
    </sheetView>
  </sheetViews>
  <sheetFormatPr defaultColWidth="8.7109375" defaultRowHeight="15" x14ac:dyDescent="0.25"/>
  <cols>
    <col min="1" max="1" width="28" customWidth="1"/>
    <col min="2" max="2" width="70" customWidth="1"/>
  </cols>
  <sheetData>
    <row r="1" spans="1:6" ht="36" customHeight="1" x14ac:dyDescent="0.25">
      <c r="A1" s="5" t="s">
        <v>0</v>
      </c>
      <c r="B1" s="5"/>
      <c r="C1" s="5"/>
      <c r="D1" s="5"/>
      <c r="E1" s="5"/>
      <c r="F1" s="5"/>
    </row>
    <row r="3" spans="1:6" ht="18" customHeight="1" x14ac:dyDescent="0.25">
      <c r="A3" s="6"/>
      <c r="B3" s="4"/>
      <c r="C3" s="4"/>
      <c r="D3" s="4"/>
      <c r="E3" s="4"/>
      <c r="F3" s="4"/>
    </row>
    <row r="4" spans="1:6" ht="18" customHeight="1" x14ac:dyDescent="0.25">
      <c r="A4" s="7" t="s">
        <v>1</v>
      </c>
      <c r="B4" s="4" t="s">
        <v>2</v>
      </c>
      <c r="C4" s="4"/>
      <c r="D4" s="4"/>
      <c r="E4" s="4"/>
      <c r="F4" s="4"/>
    </row>
    <row r="5" spans="1:6" ht="18" customHeight="1" x14ac:dyDescent="0.25">
      <c r="A5" s="7" t="s">
        <v>3</v>
      </c>
      <c r="B5" s="4" t="s">
        <v>4</v>
      </c>
      <c r="C5" s="4"/>
      <c r="D5" s="4"/>
      <c r="E5" s="4"/>
      <c r="F5" s="4"/>
    </row>
    <row r="6" spans="1:6" ht="18" customHeight="1" x14ac:dyDescent="0.25">
      <c r="A6" s="7" t="s">
        <v>5</v>
      </c>
      <c r="B6" s="4" t="s">
        <v>6</v>
      </c>
      <c r="C6" s="4"/>
      <c r="D6" s="4"/>
      <c r="E6" s="4"/>
      <c r="F6" s="4"/>
    </row>
    <row r="7" spans="1:6" ht="18" customHeight="1" x14ac:dyDescent="0.25">
      <c r="A7" s="7" t="s">
        <v>7</v>
      </c>
      <c r="B7" s="4" t="s">
        <v>8</v>
      </c>
      <c r="C7" s="4"/>
      <c r="D7" s="4"/>
      <c r="E7" s="4"/>
      <c r="F7" s="4"/>
    </row>
    <row r="8" spans="1:6" ht="18" customHeight="1" x14ac:dyDescent="0.25">
      <c r="A8" s="7" t="s">
        <v>9</v>
      </c>
      <c r="B8" s="4" t="s">
        <v>10</v>
      </c>
      <c r="C8" s="4"/>
      <c r="D8" s="4"/>
      <c r="E8" s="4"/>
      <c r="F8" s="4"/>
    </row>
    <row r="9" spans="1:6" ht="18" customHeight="1" x14ac:dyDescent="0.25">
      <c r="A9" s="7" t="s">
        <v>11</v>
      </c>
      <c r="B9" s="4" t="s">
        <v>12</v>
      </c>
      <c r="C9" s="4"/>
      <c r="D9" s="4"/>
      <c r="E9" s="4"/>
      <c r="F9" s="4"/>
    </row>
    <row r="10" spans="1:6" ht="18" customHeight="1" x14ac:dyDescent="0.25">
      <c r="A10" s="7" t="s">
        <v>13</v>
      </c>
      <c r="B10" s="4" t="s">
        <v>14</v>
      </c>
      <c r="C10" s="4"/>
      <c r="D10" s="4"/>
      <c r="E10" s="4"/>
      <c r="F10" s="4"/>
    </row>
    <row r="11" spans="1:6" ht="18" customHeight="1" x14ac:dyDescent="0.25">
      <c r="A11" s="6"/>
      <c r="B11" s="4"/>
      <c r="C11" s="4"/>
      <c r="D11" s="4"/>
      <c r="E11" s="4"/>
      <c r="F11" s="4"/>
    </row>
    <row r="12" spans="1:6" ht="18" customHeight="1" x14ac:dyDescent="0.25">
      <c r="A12" s="7" t="s">
        <v>15</v>
      </c>
      <c r="B12" s="4" t="s">
        <v>16</v>
      </c>
      <c r="C12" s="4"/>
      <c r="D12" s="4"/>
      <c r="E12" s="4"/>
      <c r="F12" s="4"/>
    </row>
    <row r="13" spans="1:6" ht="18" customHeight="1" x14ac:dyDescent="0.25">
      <c r="A13" s="6"/>
      <c r="B13" s="4" t="s">
        <v>17</v>
      </c>
      <c r="C13" s="4"/>
      <c r="D13" s="4"/>
      <c r="E13" s="4"/>
      <c r="F13" s="4"/>
    </row>
    <row r="14" spans="1:6" ht="18" customHeight="1" x14ac:dyDescent="0.25">
      <c r="A14" s="6"/>
      <c r="B14" s="4" t="s">
        <v>18</v>
      </c>
      <c r="C14" s="4"/>
      <c r="D14" s="4"/>
      <c r="E14" s="4"/>
      <c r="F14" s="4"/>
    </row>
    <row r="15" spans="1:6" ht="18" customHeight="1" x14ac:dyDescent="0.25">
      <c r="A15" s="6"/>
      <c r="B15" s="4" t="s">
        <v>19</v>
      </c>
      <c r="C15" s="4"/>
      <c r="D15" s="4"/>
      <c r="E15" s="4"/>
      <c r="F15" s="4"/>
    </row>
    <row r="16" spans="1:6" ht="18" customHeight="1" x14ac:dyDescent="0.25">
      <c r="A16" s="6"/>
      <c r="B16" s="4" t="s">
        <v>20</v>
      </c>
      <c r="C16" s="4"/>
      <c r="D16" s="4"/>
      <c r="E16" s="4"/>
      <c r="F16" s="4"/>
    </row>
    <row r="17" spans="1:6" ht="18" customHeight="1" x14ac:dyDescent="0.25">
      <c r="A17" s="6"/>
      <c r="B17" s="4"/>
      <c r="C17" s="4"/>
      <c r="D17" s="4"/>
      <c r="E17" s="4"/>
      <c r="F17" s="4"/>
    </row>
    <row r="18" spans="1:6" ht="18" customHeight="1" x14ac:dyDescent="0.25">
      <c r="A18" s="3" t="s">
        <v>21</v>
      </c>
      <c r="B18" s="3"/>
      <c r="C18" s="3"/>
      <c r="D18" s="3"/>
      <c r="E18" s="3"/>
      <c r="F18" s="3"/>
    </row>
    <row r="19" spans="1:6" ht="18" customHeight="1" x14ac:dyDescent="0.25">
      <c r="A19" s="7" t="s">
        <v>22</v>
      </c>
      <c r="B19" s="4" t="s">
        <v>23</v>
      </c>
      <c r="C19" s="4"/>
      <c r="D19" s="4"/>
      <c r="E19" s="4"/>
      <c r="F19" s="4"/>
    </row>
    <row r="20" spans="1:6" ht="18" customHeight="1" x14ac:dyDescent="0.25">
      <c r="A20" s="7" t="s">
        <v>24</v>
      </c>
      <c r="B20" s="4" t="s">
        <v>25</v>
      </c>
      <c r="C20" s="4"/>
      <c r="D20" s="4"/>
      <c r="E20" s="4"/>
      <c r="F20" s="4"/>
    </row>
    <row r="21" spans="1:6" ht="18" customHeight="1" x14ac:dyDescent="0.25">
      <c r="A21" s="7" t="s">
        <v>26</v>
      </c>
      <c r="B21" s="4" t="s">
        <v>27</v>
      </c>
      <c r="C21" s="4"/>
      <c r="D21" s="4"/>
      <c r="E21" s="4"/>
      <c r="F21" s="4"/>
    </row>
    <row r="22" spans="1:6" ht="18" customHeight="1" x14ac:dyDescent="0.25">
      <c r="A22" s="7" t="s">
        <v>28</v>
      </c>
      <c r="B22" s="4" t="s">
        <v>29</v>
      </c>
      <c r="C22" s="4"/>
      <c r="D22" s="4"/>
      <c r="E22" s="4"/>
      <c r="F22" s="4"/>
    </row>
    <row r="23" spans="1:6" ht="18" customHeight="1" x14ac:dyDescent="0.25">
      <c r="A23" s="7" t="s">
        <v>30</v>
      </c>
      <c r="B23" s="4" t="s">
        <v>31</v>
      </c>
      <c r="C23" s="4"/>
      <c r="D23" s="4"/>
      <c r="E23" s="4"/>
      <c r="F23" s="4"/>
    </row>
    <row r="24" spans="1:6" ht="18" customHeight="1" x14ac:dyDescent="0.25">
      <c r="A24" s="7" t="s">
        <v>32</v>
      </c>
      <c r="B24" s="4" t="s">
        <v>33</v>
      </c>
      <c r="C24" s="4"/>
      <c r="D24" s="4"/>
      <c r="E24" s="4"/>
      <c r="F24" s="4"/>
    </row>
    <row r="25" spans="1:6" ht="18" customHeight="1" x14ac:dyDescent="0.25">
      <c r="A25" s="7" t="s">
        <v>34</v>
      </c>
      <c r="B25" s="4" t="s">
        <v>35</v>
      </c>
      <c r="C25" s="4"/>
      <c r="D25" s="4"/>
      <c r="E25" s="4"/>
      <c r="F25" s="4"/>
    </row>
    <row r="26" spans="1:6" ht="18" customHeight="1" x14ac:dyDescent="0.25">
      <c r="A26" s="7" t="s">
        <v>36</v>
      </c>
      <c r="B26" s="4" t="s">
        <v>37</v>
      </c>
      <c r="C26" s="4"/>
      <c r="D26" s="4"/>
      <c r="E26" s="4"/>
      <c r="F26" s="4"/>
    </row>
  </sheetData>
  <mergeCells count="25">
    <mergeCell ref="B22:F22"/>
    <mergeCell ref="B23:F23"/>
    <mergeCell ref="B24:F24"/>
    <mergeCell ref="B25:F25"/>
    <mergeCell ref="B26:F26"/>
    <mergeCell ref="B17:F17"/>
    <mergeCell ref="A18:F18"/>
    <mergeCell ref="B19:F19"/>
    <mergeCell ref="B20:F20"/>
    <mergeCell ref="B21:F21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A1:F1"/>
    <mergeCell ref="B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1168-2A5B-4224-B514-3DD6A1E27DCD}">
  <dimension ref="A1:B11"/>
  <sheetViews>
    <sheetView zoomScale="145" zoomScaleNormal="145" workbookViewId="0">
      <selection activeCell="B14" sqref="B14"/>
    </sheetView>
  </sheetViews>
  <sheetFormatPr defaultRowHeight="15" x14ac:dyDescent="0.25"/>
  <cols>
    <col min="1" max="1" width="13.5703125" bestFit="1" customWidth="1"/>
    <col min="2" max="2" width="23.7109375" bestFit="1" customWidth="1"/>
  </cols>
  <sheetData>
    <row r="1" spans="1:2" x14ac:dyDescent="0.25">
      <c r="A1" t="s">
        <v>345</v>
      </c>
      <c r="B1" t="s">
        <v>346</v>
      </c>
    </row>
    <row r="2" spans="1:2" x14ac:dyDescent="0.25">
      <c r="A2">
        <v>1</v>
      </c>
      <c r="B2" t="s">
        <v>368</v>
      </c>
    </row>
    <row r="3" spans="1:2" x14ac:dyDescent="0.25">
      <c r="A3">
        <v>2</v>
      </c>
      <c r="B3" t="s">
        <v>336</v>
      </c>
    </row>
    <row r="4" spans="1:2" x14ac:dyDescent="0.25">
      <c r="A4">
        <v>3</v>
      </c>
      <c r="B4" t="s">
        <v>337</v>
      </c>
    </row>
    <row r="5" spans="1:2" x14ac:dyDescent="0.25">
      <c r="A5">
        <v>4</v>
      </c>
      <c r="B5" t="s">
        <v>338</v>
      </c>
    </row>
    <row r="6" spans="1:2" x14ac:dyDescent="0.25">
      <c r="A6">
        <v>5</v>
      </c>
      <c r="B6" t="s">
        <v>339</v>
      </c>
    </row>
    <row r="7" spans="1:2" x14ac:dyDescent="0.25">
      <c r="A7">
        <v>6</v>
      </c>
      <c r="B7" t="s">
        <v>340</v>
      </c>
    </row>
    <row r="8" spans="1:2" x14ac:dyDescent="0.25">
      <c r="A8">
        <v>7</v>
      </c>
      <c r="B8" t="s">
        <v>341</v>
      </c>
    </row>
    <row r="9" spans="1:2" x14ac:dyDescent="0.25">
      <c r="A9">
        <v>8</v>
      </c>
      <c r="B9" t="s">
        <v>342</v>
      </c>
    </row>
    <row r="10" spans="1:2" x14ac:dyDescent="0.25">
      <c r="A10">
        <v>9</v>
      </c>
      <c r="B10" t="s">
        <v>343</v>
      </c>
    </row>
    <row r="11" spans="1:2" x14ac:dyDescent="0.25">
      <c r="A11">
        <v>10</v>
      </c>
      <c r="B11" t="s">
        <v>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zoomScale="130" zoomScaleNormal="130"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J17" sqref="J17"/>
    </sheetView>
  </sheetViews>
  <sheetFormatPr defaultColWidth="8.7109375" defaultRowHeight="15" x14ac:dyDescent="0.25"/>
  <cols>
    <col min="1" max="1" width="30" customWidth="1"/>
    <col min="2" max="2" width="22" customWidth="1"/>
    <col min="3" max="3" width="24" customWidth="1"/>
    <col min="4" max="4" width="20" customWidth="1"/>
    <col min="5" max="6" width="18" customWidth="1"/>
    <col min="7" max="7" width="22" customWidth="1"/>
    <col min="8" max="10" width="18" customWidth="1"/>
  </cols>
  <sheetData>
    <row r="1" spans="1:10" ht="36" customHeight="1" x14ac:dyDescent="0.25">
      <c r="A1" s="5" t="s">
        <v>38</v>
      </c>
      <c r="B1" s="5"/>
      <c r="C1" s="5"/>
      <c r="D1" s="5"/>
      <c r="E1" s="5"/>
      <c r="F1" s="5"/>
      <c r="G1" s="5"/>
      <c r="H1" s="5"/>
      <c r="I1" s="5"/>
      <c r="J1" s="5"/>
    </row>
    <row r="2" spans="1:10" ht="19.5" customHeight="1" x14ac:dyDescent="0.25">
      <c r="A2" s="8" t="s">
        <v>39</v>
      </c>
    </row>
    <row r="4" spans="1:10" ht="15" customHeight="1" x14ac:dyDescent="0.25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5" spans="1:10" ht="15" customHeight="1" x14ac:dyDescent="0.25">
      <c r="A5" s="9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9"/>
      <c r="G5" s="9"/>
      <c r="H5" s="9"/>
      <c r="I5" s="9"/>
      <c r="J5" s="9"/>
    </row>
    <row r="6" spans="1:10" ht="18" customHeight="1" x14ac:dyDescent="0.25">
      <c r="A6" s="10" t="s">
        <v>46</v>
      </c>
      <c r="B6" s="11"/>
      <c r="C6" s="12">
        <f t="shared" ref="C6:C12" si="0">B6*30</f>
        <v>0</v>
      </c>
      <c r="D6" s="13" t="s">
        <v>47</v>
      </c>
      <c r="E6" s="11"/>
    </row>
    <row r="7" spans="1:10" ht="18" customHeight="1" x14ac:dyDescent="0.25">
      <c r="A7" s="14" t="s">
        <v>48</v>
      </c>
      <c r="B7" s="11"/>
      <c r="C7" s="12">
        <f t="shared" si="0"/>
        <v>0</v>
      </c>
      <c r="D7" s="15" t="s">
        <v>47</v>
      </c>
      <c r="E7" s="11"/>
    </row>
    <row r="8" spans="1:10" ht="18" customHeight="1" x14ac:dyDescent="0.25">
      <c r="A8" s="10" t="s">
        <v>49</v>
      </c>
      <c r="B8" s="11"/>
      <c r="C8" s="12">
        <f t="shared" si="0"/>
        <v>0</v>
      </c>
      <c r="D8" s="13" t="s">
        <v>50</v>
      </c>
      <c r="E8" s="11"/>
    </row>
    <row r="9" spans="1:10" ht="18" customHeight="1" x14ac:dyDescent="0.25">
      <c r="A9" s="14" t="s">
        <v>51</v>
      </c>
      <c r="B9" s="11"/>
      <c r="C9" s="12">
        <f t="shared" si="0"/>
        <v>0</v>
      </c>
      <c r="D9" s="15" t="s">
        <v>50</v>
      </c>
      <c r="E9" s="11"/>
    </row>
    <row r="10" spans="1:10" ht="18" customHeight="1" x14ac:dyDescent="0.25">
      <c r="A10" s="10" t="s">
        <v>30</v>
      </c>
      <c r="B10" s="11"/>
      <c r="C10" s="12">
        <f t="shared" si="0"/>
        <v>0</v>
      </c>
      <c r="D10" s="13" t="s">
        <v>52</v>
      </c>
      <c r="E10" s="11"/>
    </row>
    <row r="11" spans="1:10" ht="18" customHeight="1" x14ac:dyDescent="0.25">
      <c r="A11" s="14" t="s">
        <v>53</v>
      </c>
      <c r="B11" s="11"/>
      <c r="C11" s="12">
        <f t="shared" si="0"/>
        <v>0</v>
      </c>
      <c r="D11" s="15" t="s">
        <v>54</v>
      </c>
      <c r="E11" s="11"/>
    </row>
    <row r="12" spans="1:10" ht="18" customHeight="1" x14ac:dyDescent="0.25">
      <c r="A12" s="10" t="s">
        <v>32</v>
      </c>
      <c r="B12" s="11"/>
      <c r="C12" s="12">
        <f t="shared" si="0"/>
        <v>0</v>
      </c>
      <c r="D12" s="13" t="s">
        <v>55</v>
      </c>
      <c r="E12" s="11"/>
    </row>
    <row r="15" spans="1:10" ht="15" customHeight="1" x14ac:dyDescent="0.25">
      <c r="A15" s="3" t="s">
        <v>56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ht="15" customHeight="1" x14ac:dyDescent="0.25">
      <c r="A16" s="9" t="s">
        <v>41</v>
      </c>
      <c r="B16" s="9" t="s">
        <v>57</v>
      </c>
      <c r="C16" s="9" t="s">
        <v>58</v>
      </c>
      <c r="D16" s="9" t="s">
        <v>59</v>
      </c>
      <c r="E16" s="9" t="s">
        <v>60</v>
      </c>
      <c r="F16" s="9" t="s">
        <v>61</v>
      </c>
      <c r="G16" s="9" t="s">
        <v>62</v>
      </c>
      <c r="H16" s="9" t="s">
        <v>63</v>
      </c>
      <c r="I16" s="9" t="s">
        <v>64</v>
      </c>
      <c r="J16" s="9" t="s">
        <v>65</v>
      </c>
    </row>
    <row r="17" spans="1:10" ht="18" customHeight="1" x14ac:dyDescent="0.25">
      <c r="A17" s="10" t="s">
        <v>46</v>
      </c>
      <c r="B17" s="11"/>
      <c r="C17" s="11"/>
      <c r="D17" s="16" t="str">
        <f t="shared" ref="D17:D23" si="1">IF(B17="","",B17-C17)</f>
        <v/>
      </c>
      <c r="E17" s="17" t="str">
        <f t="shared" ref="E17:E24" si="2">IF(B17=0,"",D17/B17)</f>
        <v/>
      </c>
      <c r="F17" s="16">
        <f t="shared" ref="F17:F23" si="3">B6</f>
        <v>0</v>
      </c>
      <c r="G17" s="16" t="str">
        <f t="shared" ref="G17:G23" si="4">IF(D17="","",D17-F17)</f>
        <v/>
      </c>
      <c r="H17" s="17" t="str">
        <f t="shared" ref="H17:H24" si="5">IF(B17=0,"",G17/B17)</f>
        <v/>
      </c>
      <c r="I17" s="11"/>
      <c r="J17" s="11"/>
    </row>
    <row r="18" spans="1:10" ht="18" customHeight="1" x14ac:dyDescent="0.25">
      <c r="A18" s="14" t="s">
        <v>48</v>
      </c>
      <c r="B18" s="11"/>
      <c r="C18" s="11"/>
      <c r="D18" s="16" t="str">
        <f t="shared" si="1"/>
        <v/>
      </c>
      <c r="E18" s="17" t="str">
        <f t="shared" si="2"/>
        <v/>
      </c>
      <c r="F18" s="16">
        <f t="shared" si="3"/>
        <v>0</v>
      </c>
      <c r="G18" s="16" t="str">
        <f t="shared" si="4"/>
        <v/>
      </c>
      <c r="H18" s="17" t="str">
        <f t="shared" si="5"/>
        <v/>
      </c>
      <c r="I18" s="11"/>
      <c r="J18" s="11"/>
    </row>
    <row r="19" spans="1:10" ht="18" customHeight="1" x14ac:dyDescent="0.25">
      <c r="A19" s="10" t="s">
        <v>49</v>
      </c>
      <c r="B19" s="11"/>
      <c r="C19" s="11"/>
      <c r="D19" s="16" t="str">
        <f t="shared" si="1"/>
        <v/>
      </c>
      <c r="E19" s="17" t="str">
        <f t="shared" si="2"/>
        <v/>
      </c>
      <c r="F19" s="16">
        <f t="shared" si="3"/>
        <v>0</v>
      </c>
      <c r="G19" s="16" t="str">
        <f t="shared" si="4"/>
        <v/>
      </c>
      <c r="H19" s="17" t="str">
        <f t="shared" si="5"/>
        <v/>
      </c>
      <c r="I19" s="11"/>
      <c r="J19" s="11"/>
    </row>
    <row r="20" spans="1:10" ht="18" customHeight="1" x14ac:dyDescent="0.25">
      <c r="A20" s="14" t="s">
        <v>51</v>
      </c>
      <c r="B20" s="11"/>
      <c r="C20" s="11"/>
      <c r="D20" s="16" t="str">
        <f t="shared" si="1"/>
        <v/>
      </c>
      <c r="E20" s="17" t="str">
        <f t="shared" si="2"/>
        <v/>
      </c>
      <c r="F20" s="16">
        <f t="shared" si="3"/>
        <v>0</v>
      </c>
      <c r="G20" s="16" t="str">
        <f t="shared" si="4"/>
        <v/>
      </c>
      <c r="H20" s="17" t="str">
        <f t="shared" si="5"/>
        <v/>
      </c>
      <c r="I20" s="11"/>
      <c r="J20" s="11"/>
    </row>
    <row r="21" spans="1:10" ht="18" customHeight="1" x14ac:dyDescent="0.25">
      <c r="A21" s="10" t="s">
        <v>30</v>
      </c>
      <c r="B21" s="11"/>
      <c r="C21" s="11"/>
      <c r="D21" s="16" t="str">
        <f t="shared" si="1"/>
        <v/>
      </c>
      <c r="E21" s="17" t="str">
        <f t="shared" si="2"/>
        <v/>
      </c>
      <c r="F21" s="16">
        <f t="shared" si="3"/>
        <v>0</v>
      </c>
      <c r="G21" s="16" t="str">
        <f t="shared" si="4"/>
        <v/>
      </c>
      <c r="H21" s="17" t="str">
        <f t="shared" si="5"/>
        <v/>
      </c>
      <c r="I21" s="11"/>
      <c r="J21" s="11"/>
    </row>
    <row r="22" spans="1:10" ht="18" customHeight="1" x14ac:dyDescent="0.25">
      <c r="A22" s="14" t="s">
        <v>53</v>
      </c>
      <c r="B22" s="11"/>
      <c r="C22" s="11"/>
      <c r="D22" s="16" t="str">
        <f t="shared" si="1"/>
        <v/>
      </c>
      <c r="E22" s="17" t="str">
        <f t="shared" si="2"/>
        <v/>
      </c>
      <c r="F22" s="16">
        <f t="shared" si="3"/>
        <v>0</v>
      </c>
      <c r="G22" s="16" t="str">
        <f t="shared" si="4"/>
        <v/>
      </c>
      <c r="H22" s="17" t="str">
        <f t="shared" si="5"/>
        <v/>
      </c>
      <c r="I22" s="11"/>
      <c r="J22" s="11"/>
    </row>
    <row r="23" spans="1:10" ht="18" customHeight="1" x14ac:dyDescent="0.25">
      <c r="A23" s="10" t="s">
        <v>32</v>
      </c>
      <c r="B23" s="11"/>
      <c r="C23" s="11"/>
      <c r="D23" s="16" t="str">
        <f t="shared" si="1"/>
        <v/>
      </c>
      <c r="E23" s="17" t="str">
        <f t="shared" si="2"/>
        <v/>
      </c>
      <c r="F23" s="16">
        <f t="shared" si="3"/>
        <v>0</v>
      </c>
      <c r="G23" s="16" t="str">
        <f t="shared" si="4"/>
        <v/>
      </c>
      <c r="H23" s="17" t="str">
        <f t="shared" si="5"/>
        <v/>
      </c>
      <c r="I23" s="11"/>
      <c r="J23" s="11"/>
    </row>
    <row r="24" spans="1:10" ht="19.5" customHeight="1" x14ac:dyDescent="0.25">
      <c r="A24" s="18" t="s">
        <v>66</v>
      </c>
      <c r="B24" s="19">
        <f>SUM(B17:B23)</f>
        <v>0</v>
      </c>
      <c r="C24" s="19">
        <f>SUM(C17:C23)</f>
        <v>0</v>
      </c>
      <c r="D24" s="19">
        <f>SUM(D17:D23)</f>
        <v>0</v>
      </c>
      <c r="E24" s="20" t="str">
        <f t="shared" si="2"/>
        <v/>
      </c>
      <c r="F24" s="19">
        <f>SUM(F17:F23)</f>
        <v>0</v>
      </c>
      <c r="G24" s="19">
        <f>SUM(G17:G23)</f>
        <v>0</v>
      </c>
      <c r="H24" s="20" t="str">
        <f t="shared" si="5"/>
        <v/>
      </c>
      <c r="I24" s="19">
        <f>SUM(I17:I23)</f>
        <v>0</v>
      </c>
      <c r="J24" s="19">
        <f>SUM(J17:J23)</f>
        <v>0</v>
      </c>
    </row>
    <row r="27" spans="1:10" ht="15" customHeight="1" x14ac:dyDescent="0.25">
      <c r="A27" s="2" t="s">
        <v>67</v>
      </c>
      <c r="B27" s="2"/>
      <c r="C27" s="2"/>
      <c r="D27" s="2"/>
    </row>
    <row r="28" spans="1:10" ht="15" customHeight="1" x14ac:dyDescent="0.25">
      <c r="A28" s="21" t="s">
        <v>68</v>
      </c>
    </row>
    <row r="29" spans="1:10" ht="15" customHeight="1" x14ac:dyDescent="0.25">
      <c r="A29" s="22" t="s">
        <v>69</v>
      </c>
    </row>
    <row r="30" spans="1:10" ht="15" customHeight="1" x14ac:dyDescent="0.25">
      <c r="A30" s="23" t="s">
        <v>70</v>
      </c>
    </row>
    <row r="31" spans="1:10" ht="15" customHeight="1" x14ac:dyDescent="0.25">
      <c r="A31" s="24" t="s">
        <v>71</v>
      </c>
    </row>
    <row r="32" spans="1:10" ht="15" customHeight="1" x14ac:dyDescent="0.25">
      <c r="A32" s="25" t="s">
        <v>72</v>
      </c>
    </row>
  </sheetData>
  <mergeCells count="4">
    <mergeCell ref="A1:J1"/>
    <mergeCell ref="A4:J4"/>
    <mergeCell ref="A15:J15"/>
    <mergeCell ref="A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3F55-DA14-4E7C-948E-53E8D4EE81E2}">
  <dimension ref="A1:E1"/>
  <sheetViews>
    <sheetView zoomScale="205" zoomScaleNormal="205" workbookViewId="0">
      <selection activeCell="B2" sqref="B2"/>
    </sheetView>
  </sheetViews>
  <sheetFormatPr defaultRowHeight="15" x14ac:dyDescent="0.25"/>
  <cols>
    <col min="1" max="1" width="10.5703125" bestFit="1" customWidth="1"/>
    <col min="2" max="2" width="8.28515625" bestFit="1" customWidth="1"/>
    <col min="3" max="3" width="15.42578125" bestFit="1" customWidth="1"/>
    <col min="4" max="4" width="16.28515625" bestFit="1" customWidth="1"/>
    <col min="5" max="5" width="21.5703125" bestFit="1" customWidth="1"/>
  </cols>
  <sheetData>
    <row r="1" spans="1:5" x14ac:dyDescent="0.25">
      <c r="A1" t="s">
        <v>369</v>
      </c>
      <c r="B1" t="s">
        <v>373</v>
      </c>
      <c r="C1" t="s">
        <v>370</v>
      </c>
      <c r="D1" t="s">
        <v>371</v>
      </c>
      <c r="E1" t="s">
        <v>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0"/>
  <sheetViews>
    <sheetView zoomScale="175" zoomScaleNormal="175" workbookViewId="0">
      <pane xSplit="4" ySplit="3" topLeftCell="E68" activePane="bottomRight" state="frozen"/>
      <selection pane="topRight" activeCell="E1" sqref="E1"/>
      <selection pane="bottomLeft" activeCell="A4" sqref="A4"/>
      <selection pane="bottomRight" activeCell="B79" sqref="B79"/>
    </sheetView>
  </sheetViews>
  <sheetFormatPr defaultColWidth="8.7109375" defaultRowHeight="15" x14ac:dyDescent="0.25"/>
  <cols>
    <col min="1" max="1" width="32" customWidth="1"/>
    <col min="2" max="2" width="12" customWidth="1"/>
    <col min="3" max="3" width="14" customWidth="1"/>
    <col min="4" max="4" width="16" customWidth="1"/>
    <col min="5" max="7" width="14" customWidth="1"/>
    <col min="8" max="8" width="18" customWidth="1"/>
    <col min="9" max="9" width="22" customWidth="1"/>
    <col min="10" max="10" width="30" customWidth="1"/>
  </cols>
  <sheetData>
    <row r="1" spans="1:10" ht="31.5" customHeight="1" x14ac:dyDescent="0.25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 x14ac:dyDescent="0.25">
      <c r="A2" s="26" t="s">
        <v>74</v>
      </c>
    </row>
    <row r="4" spans="1:10" ht="18" customHeight="1" x14ac:dyDescent="0.25">
      <c r="A4" s="3" t="s">
        <v>75</v>
      </c>
      <c r="B4" s="3"/>
      <c r="C4" s="3"/>
      <c r="D4" s="3"/>
      <c r="E4" s="3"/>
      <c r="F4" s="3"/>
      <c r="G4" s="3"/>
      <c r="H4" s="3"/>
      <c r="I4" s="3"/>
      <c r="J4" s="3"/>
    </row>
    <row r="5" spans="1:10" ht="30" customHeight="1" x14ac:dyDescent="0.25">
      <c r="A5" s="9" t="s">
        <v>76</v>
      </c>
      <c r="B5" s="9" t="s">
        <v>77</v>
      </c>
      <c r="C5" s="9" t="s">
        <v>41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  <c r="J5" s="9" t="s">
        <v>84</v>
      </c>
    </row>
    <row r="6" spans="1:10" ht="18" customHeight="1" x14ac:dyDescent="0.25">
      <c r="A6" s="10" t="s">
        <v>85</v>
      </c>
      <c r="B6" s="27" t="s">
        <v>86</v>
      </c>
      <c r="C6" s="28" t="s">
        <v>87</v>
      </c>
      <c r="D6" s="29">
        <v>82</v>
      </c>
      <c r="E6" s="11"/>
      <c r="F6" s="11"/>
      <c r="G6" s="11"/>
      <c r="H6" s="30" t="str">
        <f t="shared" ref="H6:H15" si="0">IF(E6="","—",IF(D6="","—",IF(ISNUMBER(D6),IF(E6&gt;=D6*1.1,"OUTPERFORM",IF(E6&gt;=D6*0.95,"ON TRACK",IF(E6&gt;=D6*0.85,"WATCH","ACTION"))),"—")))</f>
        <v>—</v>
      </c>
      <c r="I6" s="31" t="s">
        <v>88</v>
      </c>
      <c r="J6" s="31" t="s">
        <v>89</v>
      </c>
    </row>
    <row r="7" spans="1:10" ht="18" customHeight="1" x14ac:dyDescent="0.25">
      <c r="A7" s="14" t="s">
        <v>90</v>
      </c>
      <c r="B7" s="32" t="s">
        <v>86</v>
      </c>
      <c r="C7" s="33" t="s">
        <v>87</v>
      </c>
      <c r="D7" s="29"/>
      <c r="E7" s="11"/>
      <c r="F7" s="11"/>
      <c r="G7" s="11"/>
      <c r="H7" s="30" t="str">
        <f t="shared" si="0"/>
        <v>—</v>
      </c>
      <c r="I7" s="34" t="s">
        <v>91</v>
      </c>
      <c r="J7" s="34" t="s">
        <v>92</v>
      </c>
    </row>
    <row r="8" spans="1:10" ht="18" customHeight="1" x14ac:dyDescent="0.25">
      <c r="A8" s="10" t="s">
        <v>93</v>
      </c>
      <c r="B8" s="27" t="s">
        <v>86</v>
      </c>
      <c r="C8" s="28" t="s">
        <v>94</v>
      </c>
      <c r="D8" s="29"/>
      <c r="E8" s="11"/>
      <c r="F8" s="11"/>
      <c r="G8" s="11"/>
      <c r="H8" s="30" t="str">
        <f t="shared" si="0"/>
        <v>—</v>
      </c>
      <c r="I8" s="31" t="s">
        <v>88</v>
      </c>
      <c r="J8" s="31" t="s">
        <v>95</v>
      </c>
    </row>
    <row r="9" spans="1:10" ht="18" customHeight="1" x14ac:dyDescent="0.25">
      <c r="A9" s="14" t="s">
        <v>96</v>
      </c>
      <c r="B9" s="32" t="s">
        <v>86</v>
      </c>
      <c r="C9" s="33" t="s">
        <v>94</v>
      </c>
      <c r="D9" s="29"/>
      <c r="E9" s="11"/>
      <c r="F9" s="11"/>
      <c r="G9" s="11"/>
      <c r="H9" s="30" t="str">
        <f t="shared" si="0"/>
        <v>—</v>
      </c>
      <c r="I9" s="34" t="s">
        <v>88</v>
      </c>
      <c r="J9" s="34" t="s">
        <v>97</v>
      </c>
    </row>
    <row r="10" spans="1:10" ht="18" customHeight="1" x14ac:dyDescent="0.25">
      <c r="A10" s="10" t="s">
        <v>98</v>
      </c>
      <c r="B10" s="27" t="s">
        <v>86</v>
      </c>
      <c r="C10" s="28" t="s">
        <v>94</v>
      </c>
      <c r="D10" s="29"/>
      <c r="E10" s="11"/>
      <c r="F10" s="11"/>
      <c r="G10" s="11"/>
      <c r="H10" s="30" t="str">
        <f t="shared" si="0"/>
        <v>—</v>
      </c>
      <c r="I10" s="31" t="s">
        <v>88</v>
      </c>
      <c r="J10" s="31" t="s">
        <v>99</v>
      </c>
    </row>
    <row r="11" spans="1:10" ht="18" customHeight="1" x14ac:dyDescent="0.25">
      <c r="A11" s="14" t="s">
        <v>100</v>
      </c>
      <c r="B11" s="32" t="s">
        <v>86</v>
      </c>
      <c r="C11" s="33" t="s">
        <v>101</v>
      </c>
      <c r="D11" s="29"/>
      <c r="E11" s="11"/>
      <c r="F11" s="11"/>
      <c r="G11" s="11"/>
      <c r="H11" s="30" t="str">
        <f t="shared" si="0"/>
        <v>—</v>
      </c>
      <c r="I11" s="34" t="s">
        <v>88</v>
      </c>
      <c r="J11" s="34" t="s">
        <v>102</v>
      </c>
    </row>
    <row r="12" spans="1:10" ht="18" customHeight="1" x14ac:dyDescent="0.25">
      <c r="A12" s="10" t="s">
        <v>103</v>
      </c>
      <c r="B12" s="27" t="s">
        <v>86</v>
      </c>
      <c r="C12" s="28" t="s">
        <v>101</v>
      </c>
      <c r="D12" s="29"/>
      <c r="E12" s="11"/>
      <c r="F12" s="11"/>
      <c r="G12" s="11"/>
      <c r="H12" s="30" t="str">
        <f t="shared" si="0"/>
        <v>—</v>
      </c>
      <c r="I12" s="31" t="s">
        <v>88</v>
      </c>
      <c r="J12" s="31"/>
    </row>
    <row r="13" spans="1:10" ht="18" customHeight="1" x14ac:dyDescent="0.25">
      <c r="A13" s="14" t="s">
        <v>104</v>
      </c>
      <c r="B13" s="32" t="s">
        <v>86</v>
      </c>
      <c r="C13" s="33" t="s">
        <v>101</v>
      </c>
      <c r="D13" s="29"/>
      <c r="E13" s="11"/>
      <c r="F13" s="11"/>
      <c r="G13" s="11"/>
      <c r="H13" s="30" t="str">
        <f t="shared" si="0"/>
        <v>—</v>
      </c>
      <c r="I13" s="34" t="s">
        <v>88</v>
      </c>
      <c r="J13" s="34" t="s">
        <v>105</v>
      </c>
    </row>
    <row r="14" spans="1:10" ht="18" customHeight="1" x14ac:dyDescent="0.25">
      <c r="A14" s="10" t="s">
        <v>106</v>
      </c>
      <c r="B14" s="27" t="s">
        <v>107</v>
      </c>
      <c r="C14" s="28" t="s">
        <v>101</v>
      </c>
      <c r="D14" s="29"/>
      <c r="E14" s="11"/>
      <c r="F14" s="11"/>
      <c r="G14" s="11"/>
      <c r="H14" s="30" t="str">
        <f t="shared" si="0"/>
        <v>—</v>
      </c>
      <c r="I14" s="31" t="s">
        <v>88</v>
      </c>
      <c r="J14" s="31" t="s">
        <v>108</v>
      </c>
    </row>
    <row r="15" spans="1:10" ht="18" customHeight="1" x14ac:dyDescent="0.25">
      <c r="A15" s="14" t="s">
        <v>109</v>
      </c>
      <c r="B15" s="32" t="s">
        <v>110</v>
      </c>
      <c r="C15" s="33" t="s">
        <v>101</v>
      </c>
      <c r="D15" s="29"/>
      <c r="E15" s="11"/>
      <c r="F15" s="11"/>
      <c r="G15" s="11"/>
      <c r="H15" s="30" t="str">
        <f t="shared" si="0"/>
        <v>—</v>
      </c>
      <c r="I15" s="34" t="s">
        <v>88</v>
      </c>
      <c r="J15" s="34" t="s">
        <v>111</v>
      </c>
    </row>
    <row r="17" spans="1:10" ht="18" customHeight="1" x14ac:dyDescent="0.25">
      <c r="A17" s="3" t="s">
        <v>112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ht="30" customHeight="1" x14ac:dyDescent="0.25">
      <c r="A18" s="9" t="s">
        <v>76</v>
      </c>
      <c r="B18" s="9" t="s">
        <v>77</v>
      </c>
      <c r="C18" s="9" t="s">
        <v>41</v>
      </c>
      <c r="D18" s="9" t="s">
        <v>78</v>
      </c>
      <c r="E18" s="9" t="s">
        <v>79</v>
      </c>
      <c r="F18" s="9" t="s">
        <v>80</v>
      </c>
      <c r="G18" s="9" t="s">
        <v>81</v>
      </c>
      <c r="H18" s="9" t="s">
        <v>82</v>
      </c>
      <c r="I18" s="9" t="s">
        <v>83</v>
      </c>
      <c r="J18" s="9" t="s">
        <v>84</v>
      </c>
    </row>
    <row r="19" spans="1:10" ht="18" customHeight="1" x14ac:dyDescent="0.25">
      <c r="A19" s="10" t="s">
        <v>113</v>
      </c>
      <c r="B19" s="27" t="s">
        <v>86</v>
      </c>
      <c r="C19" s="28" t="s">
        <v>101</v>
      </c>
      <c r="D19" s="29"/>
      <c r="E19" s="11"/>
      <c r="F19" s="11"/>
      <c r="G19" s="11"/>
      <c r="H19" s="30" t="str">
        <f t="shared" ref="H19:H32" si="1">IF(E19="","—",IF(D19="","—",IF(ISNUMBER(D19),IF(E19&gt;=D19*1.1,"OUTPERFORM",IF(E19&gt;=D19*0.95,"ON TRACK",IF(E19&gt;=D19*0.85,"WATCH","ACTION"))),"—")))</f>
        <v>—</v>
      </c>
      <c r="I19" s="31" t="s">
        <v>88</v>
      </c>
      <c r="J19" s="31" t="s">
        <v>114</v>
      </c>
    </row>
    <row r="20" spans="1:10" ht="18" customHeight="1" x14ac:dyDescent="0.25">
      <c r="A20" s="14" t="s">
        <v>115</v>
      </c>
      <c r="B20" s="32" t="s">
        <v>86</v>
      </c>
      <c r="C20" s="33" t="s">
        <v>101</v>
      </c>
      <c r="D20" s="29"/>
      <c r="E20" s="11"/>
      <c r="F20" s="11"/>
      <c r="G20" s="11"/>
      <c r="H20" s="30" t="str">
        <f t="shared" si="1"/>
        <v>—</v>
      </c>
      <c r="I20" s="34" t="s">
        <v>88</v>
      </c>
      <c r="J20" s="34" t="s">
        <v>116</v>
      </c>
    </row>
    <row r="21" spans="1:10" ht="18" customHeight="1" x14ac:dyDescent="0.25">
      <c r="A21" s="10" t="s">
        <v>117</v>
      </c>
      <c r="B21" s="27" t="s">
        <v>86</v>
      </c>
      <c r="C21" s="28" t="s">
        <v>101</v>
      </c>
      <c r="D21" s="29"/>
      <c r="E21" s="11"/>
      <c r="F21" s="11"/>
      <c r="G21" s="11"/>
      <c r="H21" s="30" t="str">
        <f t="shared" si="1"/>
        <v>—</v>
      </c>
      <c r="I21" s="31" t="s">
        <v>88</v>
      </c>
      <c r="J21" s="31" t="s">
        <v>116</v>
      </c>
    </row>
    <row r="22" spans="1:10" ht="18" customHeight="1" x14ac:dyDescent="0.25">
      <c r="A22" s="14" t="s">
        <v>118</v>
      </c>
      <c r="B22" s="32" t="s">
        <v>86</v>
      </c>
      <c r="C22" s="33" t="s">
        <v>101</v>
      </c>
      <c r="D22" s="29"/>
      <c r="E22" s="11"/>
      <c r="F22" s="11"/>
      <c r="G22" s="11"/>
      <c r="H22" s="30" t="str">
        <f t="shared" si="1"/>
        <v>—</v>
      </c>
      <c r="I22" s="34" t="s">
        <v>88</v>
      </c>
      <c r="J22" s="34" t="s">
        <v>119</v>
      </c>
    </row>
    <row r="23" spans="1:10" ht="18" customHeight="1" x14ac:dyDescent="0.25">
      <c r="A23" s="10" t="s">
        <v>120</v>
      </c>
      <c r="B23" s="27" t="s">
        <v>86</v>
      </c>
      <c r="C23" s="28" t="s">
        <v>101</v>
      </c>
      <c r="D23" s="29"/>
      <c r="E23" s="11"/>
      <c r="F23" s="11"/>
      <c r="G23" s="11"/>
      <c r="H23" s="30" t="str">
        <f t="shared" si="1"/>
        <v>—</v>
      </c>
      <c r="I23" s="31" t="s">
        <v>88</v>
      </c>
      <c r="J23" s="31" t="s">
        <v>116</v>
      </c>
    </row>
    <row r="24" spans="1:10" ht="18" customHeight="1" x14ac:dyDescent="0.25">
      <c r="A24" s="14" t="s">
        <v>121</v>
      </c>
      <c r="B24" s="32" t="s">
        <v>86</v>
      </c>
      <c r="C24" s="33" t="s">
        <v>101</v>
      </c>
      <c r="D24" s="29"/>
      <c r="E24" s="11"/>
      <c r="F24" s="11"/>
      <c r="G24" s="11"/>
      <c r="H24" s="30" t="str">
        <f t="shared" si="1"/>
        <v>—</v>
      </c>
      <c r="I24" s="34" t="s">
        <v>88</v>
      </c>
      <c r="J24" s="34" t="s">
        <v>119</v>
      </c>
    </row>
    <row r="25" spans="1:10" ht="18" customHeight="1" x14ac:dyDescent="0.25">
      <c r="A25" s="14" t="s">
        <v>325</v>
      </c>
      <c r="B25" s="32" t="s">
        <v>86</v>
      </c>
      <c r="C25" s="33" t="s">
        <v>101</v>
      </c>
      <c r="D25" s="29"/>
      <c r="E25" s="11"/>
      <c r="F25" s="11"/>
      <c r="G25" s="11"/>
      <c r="H25" s="30" t="str">
        <f t="shared" ref="H25:H29" si="2">IF(E25="","—",IF(D25="","—",IF(ISNUMBER(D25),IF(E25&gt;=D25*1.1,"OUTPERFORM",IF(E25&gt;=D25*0.95,"ON TRACK",IF(E25&gt;=D25*0.85,"WATCH","ACTION"))),"—")))</f>
        <v>—</v>
      </c>
      <c r="I25" s="34" t="s">
        <v>88</v>
      </c>
      <c r="J25" s="34" t="s">
        <v>116</v>
      </c>
    </row>
    <row r="26" spans="1:10" ht="18" customHeight="1" x14ac:dyDescent="0.25">
      <c r="A26" s="10" t="s">
        <v>326</v>
      </c>
      <c r="B26" s="27" t="s">
        <v>86</v>
      </c>
      <c r="C26" s="28" t="s">
        <v>101</v>
      </c>
      <c r="D26" s="29"/>
      <c r="E26" s="11"/>
      <c r="F26" s="11"/>
      <c r="G26" s="11"/>
      <c r="H26" s="30" t="str">
        <f t="shared" si="2"/>
        <v>—</v>
      </c>
      <c r="I26" s="31" t="s">
        <v>88</v>
      </c>
      <c r="J26" s="31" t="s">
        <v>116</v>
      </c>
    </row>
    <row r="27" spans="1:10" ht="18" customHeight="1" x14ac:dyDescent="0.25">
      <c r="A27" s="14" t="s">
        <v>327</v>
      </c>
      <c r="B27" s="32" t="s">
        <v>86</v>
      </c>
      <c r="C27" s="33" t="s">
        <v>101</v>
      </c>
      <c r="D27" s="29"/>
      <c r="E27" s="11"/>
      <c r="F27" s="11"/>
      <c r="G27" s="11"/>
      <c r="H27" s="30" t="str">
        <f t="shared" si="2"/>
        <v>—</v>
      </c>
      <c r="I27" s="34" t="s">
        <v>88</v>
      </c>
      <c r="J27" s="34" t="s">
        <v>119</v>
      </c>
    </row>
    <row r="28" spans="1:10" ht="18" customHeight="1" x14ac:dyDescent="0.25">
      <c r="A28" s="10" t="s">
        <v>328</v>
      </c>
      <c r="B28" s="27" t="s">
        <v>86</v>
      </c>
      <c r="C28" s="28" t="s">
        <v>101</v>
      </c>
      <c r="D28" s="29"/>
      <c r="E28" s="11"/>
      <c r="F28" s="11"/>
      <c r="G28" s="11"/>
      <c r="H28" s="30" t="str">
        <f t="shared" si="2"/>
        <v>—</v>
      </c>
      <c r="I28" s="31" t="s">
        <v>88</v>
      </c>
      <c r="J28" s="31" t="s">
        <v>116</v>
      </c>
    </row>
    <row r="29" spans="1:10" ht="18" customHeight="1" x14ac:dyDescent="0.25">
      <c r="A29" s="14" t="s">
        <v>329</v>
      </c>
      <c r="B29" s="32" t="s">
        <v>86</v>
      </c>
      <c r="C29" s="33" t="s">
        <v>101</v>
      </c>
      <c r="D29" s="29"/>
      <c r="E29" s="11"/>
      <c r="F29" s="11"/>
      <c r="G29" s="11"/>
      <c r="H29" s="30" t="str">
        <f t="shared" si="2"/>
        <v>—</v>
      </c>
      <c r="I29" s="34" t="s">
        <v>88</v>
      </c>
      <c r="J29" s="34" t="s">
        <v>119</v>
      </c>
    </row>
    <row r="30" spans="1:10" ht="18" customHeight="1" x14ac:dyDescent="0.25">
      <c r="A30" s="14" t="s">
        <v>330</v>
      </c>
      <c r="B30" s="32" t="s">
        <v>86</v>
      </c>
      <c r="C30" s="33" t="s">
        <v>101</v>
      </c>
      <c r="D30" s="29"/>
      <c r="E30" s="11"/>
      <c r="F30" s="11"/>
      <c r="G30" s="11"/>
      <c r="H30" s="30" t="str">
        <f t="shared" si="1"/>
        <v>—</v>
      </c>
      <c r="I30" s="34" t="s">
        <v>88</v>
      </c>
      <c r="J30" s="34"/>
    </row>
    <row r="31" spans="1:10" ht="18" customHeight="1" x14ac:dyDescent="0.25">
      <c r="A31" s="10" t="s">
        <v>123</v>
      </c>
      <c r="B31" s="27" t="s">
        <v>107</v>
      </c>
      <c r="C31" s="28" t="s">
        <v>101</v>
      </c>
      <c r="D31" s="29"/>
      <c r="E31" s="11"/>
      <c r="F31" s="11"/>
      <c r="G31" s="11"/>
      <c r="H31" s="30" t="str">
        <f t="shared" si="1"/>
        <v>—</v>
      </c>
      <c r="I31" s="31" t="s">
        <v>88</v>
      </c>
      <c r="J31" s="31"/>
    </row>
    <row r="32" spans="1:10" ht="18" customHeight="1" x14ac:dyDescent="0.25">
      <c r="A32" s="14" t="s">
        <v>124</v>
      </c>
      <c r="B32" s="32" t="s">
        <v>110</v>
      </c>
      <c r="C32" s="33" t="s">
        <v>101</v>
      </c>
      <c r="D32" s="29"/>
      <c r="E32" s="11"/>
      <c r="F32" s="11"/>
      <c r="G32" s="11"/>
      <c r="H32" s="30" t="str">
        <f t="shared" si="1"/>
        <v>—</v>
      </c>
      <c r="I32" s="34" t="s">
        <v>88</v>
      </c>
      <c r="J32" s="34"/>
    </row>
    <row r="34" spans="1:10" ht="18" customHeight="1" x14ac:dyDescent="0.25">
      <c r="A34" s="3" t="s">
        <v>125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ht="30" customHeight="1" x14ac:dyDescent="0.25">
      <c r="A35" s="9" t="s">
        <v>76</v>
      </c>
      <c r="B35" s="9" t="s">
        <v>77</v>
      </c>
      <c r="C35" s="9" t="s">
        <v>41</v>
      </c>
      <c r="D35" s="9" t="s">
        <v>78</v>
      </c>
      <c r="E35" s="9" t="s">
        <v>79</v>
      </c>
      <c r="F35" s="9" t="s">
        <v>80</v>
      </c>
      <c r="G35" s="9" t="s">
        <v>81</v>
      </c>
      <c r="H35" s="9" t="s">
        <v>82</v>
      </c>
      <c r="I35" s="9" t="s">
        <v>83</v>
      </c>
      <c r="J35" s="9" t="s">
        <v>84</v>
      </c>
    </row>
    <row r="36" spans="1:10" ht="18" customHeight="1" x14ac:dyDescent="0.25">
      <c r="A36" s="10" t="s">
        <v>126</v>
      </c>
      <c r="B36" s="27" t="s">
        <v>86</v>
      </c>
      <c r="C36" s="28" t="s">
        <v>101</v>
      </c>
      <c r="D36" s="29"/>
      <c r="E36" s="11"/>
      <c r="F36" s="11"/>
      <c r="G36" s="11"/>
      <c r="H36" s="30" t="str">
        <f>IF(E36="","—",IF(D36="","—",IF(ISNUMBER(D36),IF(E36&gt;=D36*1.1,"OUTPERFORM",IF(E36&gt;=D36*0.95,"ON TRACK",IF(E36&gt;=D36*0.85,"WATCH","ACTION"))),"—")))</f>
        <v>—</v>
      </c>
      <c r="I36" s="31" t="s">
        <v>88</v>
      </c>
      <c r="J36" s="31" t="s">
        <v>127</v>
      </c>
    </row>
    <row r="37" spans="1:10" ht="18" customHeight="1" x14ac:dyDescent="0.25">
      <c r="A37" s="14" t="s">
        <v>128</v>
      </c>
      <c r="B37" s="32" t="s">
        <v>86</v>
      </c>
      <c r="C37" s="33" t="s">
        <v>129</v>
      </c>
      <c r="D37" s="29"/>
      <c r="E37" s="11"/>
      <c r="F37" s="11"/>
      <c r="G37" s="11"/>
      <c r="H37" s="30" t="str">
        <f>IF(E37="","—",IF(D37="","—",IF(ISNUMBER(D37),IF(E37&gt;=D37*1.1,"OUTPERFORM",IF(E37&gt;=D37*0.95,"ON TRACK",IF(E37&gt;=D37*0.85,"WATCH","ACTION"))),"—")))</f>
        <v>—</v>
      </c>
      <c r="I37" s="34" t="s">
        <v>88</v>
      </c>
      <c r="J37" s="34" t="s">
        <v>130</v>
      </c>
    </row>
    <row r="38" spans="1:10" ht="18" customHeight="1" x14ac:dyDescent="0.25">
      <c r="A38" s="14" t="s">
        <v>331</v>
      </c>
      <c r="B38" s="32" t="s">
        <v>86</v>
      </c>
      <c r="C38" s="33" t="s">
        <v>129</v>
      </c>
      <c r="D38" s="29"/>
      <c r="E38" s="11"/>
      <c r="F38" s="11"/>
      <c r="G38" s="11"/>
      <c r="H38" s="30" t="str">
        <f>IF(E38="","—",IF(D38="","—",IF(ISNUMBER(D38),IF(E38&gt;=D38*1.1,"OUTPERFORM",IF(E38&gt;=D38*0.95,"ON TRACK",IF(E38&gt;=D38*0.85,"WATCH","ACTION"))),"—")))</f>
        <v>—</v>
      </c>
      <c r="I38" s="34" t="s">
        <v>88</v>
      </c>
      <c r="J38" s="34" t="s">
        <v>332</v>
      </c>
    </row>
    <row r="39" spans="1:10" ht="18" customHeight="1" x14ac:dyDescent="0.25">
      <c r="A39" s="10" t="s">
        <v>131</v>
      </c>
      <c r="B39" s="27" t="s">
        <v>107</v>
      </c>
      <c r="C39" s="28" t="s">
        <v>101</v>
      </c>
      <c r="D39" s="29"/>
      <c r="E39" s="11"/>
      <c r="F39" s="11"/>
      <c r="G39" s="11"/>
      <c r="H39" s="30" t="str">
        <f>IF(E39="","—",IF(D39="","—",IF(ISNUMBER(D39),IF(E39&gt;=D39*1.1,"OUTPERFORM",IF(E39&gt;=D39*0.95,"ON TRACK",IF(E39&gt;=D39*0.85,"WATCH","ACTION"))),"—")))</f>
        <v>—</v>
      </c>
      <c r="I39" s="31" t="s">
        <v>88</v>
      </c>
      <c r="J39" s="31"/>
    </row>
    <row r="40" spans="1:10" ht="18" customHeight="1" x14ac:dyDescent="0.25">
      <c r="A40" s="14" t="s">
        <v>132</v>
      </c>
      <c r="B40" s="32" t="s">
        <v>110</v>
      </c>
      <c r="C40" s="33" t="s">
        <v>101</v>
      </c>
      <c r="D40" s="29"/>
      <c r="E40" s="11"/>
      <c r="F40" s="11"/>
      <c r="G40" s="11"/>
      <c r="H40" s="30" t="str">
        <f>IF(E40="","—",IF(D40="","—",IF(ISNUMBER(D40),IF(E40&gt;=D40*1.1,"OUTPERFORM",IF(E40&gt;=D40*0.95,"ON TRACK",IF(E40&gt;=D40*0.85,"WATCH","ACTION"))),"—")))</f>
        <v>—</v>
      </c>
      <c r="I40" s="34" t="s">
        <v>88</v>
      </c>
      <c r="J40" s="34"/>
    </row>
    <row r="41" spans="1:10" ht="18" customHeight="1" x14ac:dyDescent="0.25">
      <c r="A41" s="14"/>
      <c r="B41" s="32"/>
      <c r="C41" s="33"/>
      <c r="D41" s="29"/>
      <c r="E41" s="11"/>
      <c r="F41" s="11"/>
      <c r="G41" s="11"/>
      <c r="H41" s="30"/>
      <c r="I41" s="34"/>
      <c r="J41" s="34"/>
    </row>
    <row r="42" spans="1:10" ht="18" customHeight="1" x14ac:dyDescent="0.25">
      <c r="A42" s="14" t="s">
        <v>138</v>
      </c>
      <c r="B42" s="32" t="s">
        <v>107</v>
      </c>
      <c r="C42" s="33" t="s">
        <v>139</v>
      </c>
      <c r="D42" s="29">
        <v>40</v>
      </c>
      <c r="E42" s="11"/>
      <c r="F42" s="11"/>
      <c r="G42" s="11"/>
      <c r="H42" s="30" t="str">
        <f>IF(E42="","—",IF(D42="","—",IF(ISNUMBER(D42),IF(E42&gt;=D42*1.1,"OUTPERFORM",IF(E42&gt;=D42*0.95,"ON TRACK",IF(E42&gt;=D42*0.85,"WATCH","ACTION"))),"—")))</f>
        <v>—</v>
      </c>
      <c r="I42" s="34" t="s">
        <v>140</v>
      </c>
      <c r="J42" s="34" t="s">
        <v>141</v>
      </c>
    </row>
    <row r="43" spans="1:10" ht="18" customHeight="1" x14ac:dyDescent="0.25">
      <c r="A43" s="10" t="s">
        <v>142</v>
      </c>
      <c r="B43" s="27" t="s">
        <v>107</v>
      </c>
      <c r="C43" s="28" t="s">
        <v>139</v>
      </c>
      <c r="D43" s="29">
        <v>32</v>
      </c>
      <c r="E43" s="11"/>
      <c r="F43" s="11"/>
      <c r="G43" s="11"/>
      <c r="H43" s="30" t="str">
        <f>IF(E43="","—",IF(D43="","—",IF(ISNUMBER(D43),IF(E43&gt;=D43*1.1,"OUTPERFORM",IF(E43&gt;=D43*0.95,"ON TRACK",IF(E43&gt;=D43*0.85,"WATCH","ACTION"))),"—")))</f>
        <v>—</v>
      </c>
      <c r="I43" s="31" t="s">
        <v>140</v>
      </c>
      <c r="J43" s="31"/>
    </row>
    <row r="45" spans="1:10" ht="18" customHeight="1" x14ac:dyDescent="0.25">
      <c r="A45" s="3" t="s">
        <v>133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ht="30" customHeight="1" x14ac:dyDescent="0.25">
      <c r="A46" s="9" t="s">
        <v>76</v>
      </c>
      <c r="B46" s="9" t="s">
        <v>77</v>
      </c>
      <c r="C46" s="9" t="s">
        <v>41</v>
      </c>
      <c r="D46" s="9" t="s">
        <v>78</v>
      </c>
      <c r="E46" s="9" t="s">
        <v>79</v>
      </c>
      <c r="F46" s="9" t="s">
        <v>80</v>
      </c>
      <c r="G46" s="9" t="s">
        <v>81</v>
      </c>
      <c r="H46" s="9" t="s">
        <v>82</v>
      </c>
      <c r="I46" s="9" t="s">
        <v>83</v>
      </c>
      <c r="J46" s="9" t="s">
        <v>84</v>
      </c>
    </row>
    <row r="47" spans="1:10" ht="18" customHeight="1" x14ac:dyDescent="0.25">
      <c r="A47" s="10" t="s">
        <v>134</v>
      </c>
      <c r="B47" s="27" t="s">
        <v>86</v>
      </c>
      <c r="C47" s="28" t="s">
        <v>101</v>
      </c>
      <c r="D47" s="29"/>
      <c r="E47" s="11"/>
      <c r="F47" s="11"/>
      <c r="G47" s="11"/>
      <c r="H47" s="30" t="str">
        <f>IF(E47="","—",IF(D47="","—",IF(ISNUMBER(D47),IF(E47&gt;=D47*1.1,"OUTPERFORM",IF(E47&gt;=D47*0.95,"ON TRACK",IF(E47&gt;=D47*0.85,"WATCH","ACTION"))),"—")))</f>
        <v>—</v>
      </c>
      <c r="I47" s="31" t="s">
        <v>88</v>
      </c>
      <c r="J47" s="31" t="s">
        <v>135</v>
      </c>
    </row>
    <row r="48" spans="1:10" ht="18" customHeight="1" x14ac:dyDescent="0.25">
      <c r="A48" s="14" t="s">
        <v>136</v>
      </c>
      <c r="B48" s="32" t="s">
        <v>107</v>
      </c>
      <c r="C48" s="33" t="s">
        <v>101</v>
      </c>
      <c r="D48" s="29"/>
      <c r="E48" s="11"/>
      <c r="F48" s="11"/>
      <c r="G48" s="11"/>
      <c r="H48" s="30" t="str">
        <f>IF(E48="","—",IF(D48="","—",IF(ISNUMBER(D48),IF(E48&gt;=D48*1.1,"OUTPERFORM",IF(E48&gt;=D48*0.95,"ON TRACK",IF(E48&gt;=D48*0.85,"WATCH","ACTION"))),"—")))</f>
        <v>—</v>
      </c>
      <c r="I48" s="34" t="s">
        <v>88</v>
      </c>
      <c r="J48" s="34"/>
    </row>
    <row r="49" spans="1:10" ht="18" customHeight="1" x14ac:dyDescent="0.25">
      <c r="A49" s="10" t="s">
        <v>137</v>
      </c>
      <c r="B49" s="27" t="s">
        <v>110</v>
      </c>
      <c r="C49" s="28" t="s">
        <v>101</v>
      </c>
      <c r="D49" s="29"/>
      <c r="E49" s="11"/>
      <c r="F49" s="11"/>
      <c r="G49" s="11"/>
      <c r="H49" s="30" t="str">
        <f>IF(E49="","—",IF(D49="","—",IF(ISNUMBER(D49),IF(E49&gt;=D49*1.1,"OUTPERFORM",IF(E49&gt;=D49*0.95,"ON TRACK",IF(E49&gt;=D49*0.85,"WATCH","ACTION"))),"—")))</f>
        <v>—</v>
      </c>
      <c r="I49" s="31" t="s">
        <v>88</v>
      </c>
      <c r="J49" s="31"/>
    </row>
    <row r="51" spans="1:10" ht="18" customHeight="1" x14ac:dyDescent="0.25">
      <c r="A51" s="3" t="s">
        <v>143</v>
      </c>
      <c r="B51" s="3"/>
      <c r="C51" s="3"/>
      <c r="D51" s="3"/>
      <c r="E51" s="3"/>
      <c r="F51" s="3"/>
      <c r="G51" s="3"/>
      <c r="H51" s="3"/>
      <c r="I51" s="3"/>
      <c r="J51" s="3"/>
    </row>
    <row r="52" spans="1:10" ht="30" customHeight="1" x14ac:dyDescent="0.25">
      <c r="A52" s="9" t="s">
        <v>76</v>
      </c>
      <c r="B52" s="9" t="s">
        <v>77</v>
      </c>
      <c r="C52" s="9" t="s">
        <v>41</v>
      </c>
      <c r="D52" s="9" t="s">
        <v>78</v>
      </c>
      <c r="E52" s="9" t="s">
        <v>79</v>
      </c>
      <c r="F52" s="9" t="s">
        <v>80</v>
      </c>
      <c r="G52" s="9" t="s">
        <v>81</v>
      </c>
      <c r="H52" s="9" t="s">
        <v>82</v>
      </c>
      <c r="I52" s="9" t="s">
        <v>83</v>
      </c>
      <c r="J52" s="9" t="s">
        <v>84</v>
      </c>
    </row>
    <row r="53" spans="1:10" ht="18" customHeight="1" x14ac:dyDescent="0.25">
      <c r="A53" s="10" t="s">
        <v>144</v>
      </c>
      <c r="B53" s="27" t="s">
        <v>86</v>
      </c>
      <c r="C53" s="28" t="s">
        <v>94</v>
      </c>
      <c r="D53" s="29"/>
      <c r="E53" s="11"/>
      <c r="F53" s="11"/>
      <c r="G53" s="11"/>
      <c r="H53" s="30" t="str">
        <f t="shared" ref="H53:H58" si="3">IF(E53="","—",IF(D53="","—",IF(ISNUMBER(D53),IF(E53&gt;=D53*1.1,"OUTPERFORM",IF(E53&gt;=D53*0.95,"ON TRACK",IF(E53&gt;=D53*0.85,"WATCH","ACTION"))),"—")))</f>
        <v>—</v>
      </c>
      <c r="I53" s="31" t="s">
        <v>88</v>
      </c>
      <c r="J53" s="31"/>
    </row>
    <row r="54" spans="1:10" ht="18" customHeight="1" x14ac:dyDescent="0.25">
      <c r="A54" s="14" t="s">
        <v>145</v>
      </c>
      <c r="B54" s="32" t="s">
        <v>86</v>
      </c>
      <c r="C54" s="33" t="s">
        <v>94</v>
      </c>
      <c r="D54" s="29"/>
      <c r="E54" s="11"/>
      <c r="F54" s="11"/>
      <c r="G54" s="11"/>
      <c r="H54" s="30" t="str">
        <f t="shared" si="3"/>
        <v>—</v>
      </c>
      <c r="I54" s="34" t="s">
        <v>88</v>
      </c>
      <c r="J54" s="34"/>
    </row>
    <row r="55" spans="1:10" ht="18" customHeight="1" x14ac:dyDescent="0.25">
      <c r="A55" s="10" t="s">
        <v>146</v>
      </c>
      <c r="B55" s="27" t="s">
        <v>86</v>
      </c>
      <c r="C55" s="28" t="s">
        <v>94</v>
      </c>
      <c r="D55" s="29"/>
      <c r="E55" s="11"/>
      <c r="F55" s="11"/>
      <c r="G55" s="11"/>
      <c r="H55" s="30" t="str">
        <f t="shared" si="3"/>
        <v>—</v>
      </c>
      <c r="I55" s="31" t="s">
        <v>88</v>
      </c>
      <c r="J55" s="31"/>
    </row>
    <row r="56" spans="1:10" ht="18" customHeight="1" x14ac:dyDescent="0.25">
      <c r="A56" s="14" t="s">
        <v>147</v>
      </c>
      <c r="B56" s="32" t="s">
        <v>86</v>
      </c>
      <c r="C56" s="33" t="s">
        <v>94</v>
      </c>
      <c r="D56" s="29"/>
      <c r="E56" s="11"/>
      <c r="F56" s="11"/>
      <c r="G56" s="11"/>
      <c r="H56" s="30" t="str">
        <f t="shared" si="3"/>
        <v>—</v>
      </c>
      <c r="I56" s="34" t="s">
        <v>88</v>
      </c>
      <c r="J56" s="34"/>
    </row>
    <row r="57" spans="1:10" ht="18" customHeight="1" x14ac:dyDescent="0.25">
      <c r="A57" s="10" t="s">
        <v>148</v>
      </c>
      <c r="B57" s="27" t="s">
        <v>86</v>
      </c>
      <c r="C57" s="28" t="s">
        <v>94</v>
      </c>
      <c r="D57" s="29"/>
      <c r="E57" s="11"/>
      <c r="F57" s="11"/>
      <c r="G57" s="11"/>
      <c r="H57" s="30" t="str">
        <f t="shared" si="3"/>
        <v>—</v>
      </c>
      <c r="I57" s="31" t="s">
        <v>88</v>
      </c>
      <c r="J57" s="31"/>
    </row>
    <row r="58" spans="1:10" ht="18" customHeight="1" x14ac:dyDescent="0.25">
      <c r="A58" s="14" t="s">
        <v>149</v>
      </c>
      <c r="B58" s="32" t="s">
        <v>86</v>
      </c>
      <c r="C58" s="33" t="s">
        <v>129</v>
      </c>
      <c r="D58" s="29"/>
      <c r="E58" s="11"/>
      <c r="F58" s="11"/>
      <c r="G58" s="11"/>
      <c r="H58" s="30" t="str">
        <f t="shared" si="3"/>
        <v>—</v>
      </c>
      <c r="I58" s="34" t="s">
        <v>150</v>
      </c>
      <c r="J58" s="34" t="s">
        <v>151</v>
      </c>
    </row>
    <row r="60" spans="1:10" ht="15" customHeight="1" thickBot="1" x14ac:dyDescent="0.3">
      <c r="A60" s="3" t="s">
        <v>333</v>
      </c>
      <c r="B60" s="3"/>
      <c r="C60" s="3"/>
      <c r="D60" s="3"/>
      <c r="E60" s="3"/>
      <c r="F60" s="3"/>
      <c r="G60" s="3"/>
      <c r="H60" s="3"/>
      <c r="I60" s="3"/>
      <c r="J60" s="3"/>
    </row>
    <row r="61" spans="1:10" ht="18.75" customHeight="1" x14ac:dyDescent="0.25">
      <c r="A61" s="9" t="s">
        <v>152</v>
      </c>
      <c r="B61" s="9" t="s">
        <v>153</v>
      </c>
      <c r="C61" s="9" t="s">
        <v>154</v>
      </c>
      <c r="D61" s="9" t="s">
        <v>334</v>
      </c>
      <c r="E61" s="9" t="s">
        <v>155</v>
      </c>
      <c r="F61" s="9" t="s">
        <v>84</v>
      </c>
    </row>
    <row r="62" spans="1:10" ht="18" customHeight="1" x14ac:dyDescent="0.25">
      <c r="A62" s="29"/>
      <c r="B62" s="29"/>
      <c r="C62" s="29"/>
      <c r="D62" s="29"/>
      <c r="E62" s="29"/>
      <c r="F62" s="29"/>
    </row>
    <row r="63" spans="1:10" ht="18" customHeight="1" x14ac:dyDescent="0.25">
      <c r="A63" s="29"/>
      <c r="B63" s="29"/>
      <c r="C63" s="29"/>
      <c r="D63" s="29"/>
      <c r="E63" s="29"/>
      <c r="F63" s="29"/>
    </row>
    <row r="64" spans="1:10" ht="18" customHeight="1" x14ac:dyDescent="0.25">
      <c r="A64" s="29"/>
      <c r="B64" s="29"/>
      <c r="C64" s="29"/>
      <c r="D64" s="29"/>
      <c r="E64" s="29"/>
      <c r="F64" s="29"/>
    </row>
    <row r="65" spans="1:10" ht="18" customHeight="1" x14ac:dyDescent="0.25">
      <c r="A65" s="29"/>
      <c r="B65" s="29"/>
      <c r="C65" s="29"/>
      <c r="D65" s="29"/>
      <c r="E65" s="29"/>
      <c r="F65" s="29"/>
    </row>
    <row r="66" spans="1:10" ht="18" customHeight="1" x14ac:dyDescent="0.25">
      <c r="A66" s="29"/>
      <c r="B66" s="29"/>
      <c r="C66" s="29"/>
      <c r="D66" s="29"/>
      <c r="E66" s="29"/>
      <c r="F66" s="29"/>
    </row>
    <row r="67" spans="1:10" ht="18" customHeight="1" x14ac:dyDescent="0.25">
      <c r="A67" s="29"/>
      <c r="B67" s="29"/>
      <c r="C67" s="29"/>
      <c r="D67" s="29"/>
      <c r="E67" s="29"/>
      <c r="F67" s="29"/>
    </row>
    <row r="68" spans="1:10" ht="18" customHeight="1" x14ac:dyDescent="0.25">
      <c r="A68" s="29"/>
      <c r="B68" s="29"/>
      <c r="C68" s="29"/>
      <c r="D68" s="29"/>
      <c r="E68" s="29"/>
      <c r="F68" s="29"/>
    </row>
    <row r="69" spans="1:10" ht="18" customHeight="1" x14ac:dyDescent="0.25">
      <c r="A69" s="29"/>
      <c r="B69" s="29"/>
      <c r="C69" s="29"/>
      <c r="D69" s="29"/>
      <c r="E69" s="29"/>
      <c r="F69" s="29"/>
    </row>
    <row r="71" spans="1:10" ht="15.75" thickBot="1" x14ac:dyDescent="0.3">
      <c r="A71" s="3" t="s">
        <v>335</v>
      </c>
      <c r="B71" s="3"/>
      <c r="C71" s="3"/>
      <c r="D71" s="3"/>
      <c r="E71" s="3"/>
      <c r="F71" s="3"/>
      <c r="G71" s="3"/>
      <c r="H71" s="3"/>
      <c r="I71" s="3"/>
      <c r="J71" s="3"/>
    </row>
    <row r="72" spans="1:10" ht="33.75" x14ac:dyDescent="0.25">
      <c r="A72" s="9" t="s">
        <v>152</v>
      </c>
      <c r="B72" s="9" t="s">
        <v>153</v>
      </c>
      <c r="C72" s="9" t="s">
        <v>154</v>
      </c>
      <c r="D72" s="9" t="s">
        <v>334</v>
      </c>
      <c r="E72" s="9" t="s">
        <v>155</v>
      </c>
      <c r="F72" s="9" t="s">
        <v>84</v>
      </c>
    </row>
    <row r="73" spans="1:10" x14ac:dyDescent="0.25">
      <c r="A73" s="29"/>
      <c r="B73" s="29"/>
      <c r="C73" s="29"/>
      <c r="D73" s="29"/>
      <c r="E73" s="29"/>
      <c r="F73" s="29"/>
    </row>
    <row r="74" spans="1:10" x14ac:dyDescent="0.25">
      <c r="A74" s="29"/>
      <c r="B74" s="29"/>
      <c r="C74" s="29"/>
      <c r="D74" s="29"/>
      <c r="E74" s="29"/>
      <c r="F74" s="29"/>
    </row>
    <row r="75" spans="1:10" x14ac:dyDescent="0.25">
      <c r="A75" s="29"/>
      <c r="B75" s="29"/>
      <c r="C75" s="29"/>
      <c r="D75" s="29"/>
      <c r="E75" s="29"/>
      <c r="F75" s="29"/>
    </row>
    <row r="76" spans="1:10" x14ac:dyDescent="0.25">
      <c r="A76" s="29"/>
      <c r="B76" s="29"/>
      <c r="C76" s="29"/>
      <c r="D76" s="29"/>
      <c r="E76" s="29"/>
      <c r="F76" s="29"/>
    </row>
    <row r="77" spans="1:10" x14ac:dyDescent="0.25">
      <c r="A77" s="29"/>
      <c r="B77" s="29"/>
      <c r="C77" s="29"/>
      <c r="D77" s="29"/>
      <c r="E77" s="29"/>
      <c r="F77" s="29"/>
    </row>
    <row r="78" spans="1:10" x14ac:dyDescent="0.25">
      <c r="A78" s="29"/>
      <c r="B78" s="29"/>
      <c r="C78" s="29"/>
      <c r="D78" s="29"/>
      <c r="E78" s="29"/>
      <c r="F78" s="29"/>
    </row>
    <row r="79" spans="1:10" x14ac:dyDescent="0.25">
      <c r="A79" s="29"/>
      <c r="B79" s="29"/>
      <c r="C79" s="29"/>
      <c r="D79" s="29"/>
      <c r="E79" s="29"/>
      <c r="F79" s="29"/>
    </row>
    <row r="80" spans="1:10" x14ac:dyDescent="0.25">
      <c r="A80" s="29"/>
      <c r="B80" s="29"/>
      <c r="C80" s="29"/>
      <c r="D80" s="29"/>
      <c r="E80" s="29"/>
      <c r="F80" s="29"/>
    </row>
  </sheetData>
  <mergeCells count="8">
    <mergeCell ref="A51:J51"/>
    <mergeCell ref="A60:J60"/>
    <mergeCell ref="A71:J71"/>
    <mergeCell ref="A1:J1"/>
    <mergeCell ref="A4:J4"/>
    <mergeCell ref="A17:J17"/>
    <mergeCell ref="A34:J34"/>
    <mergeCell ref="A45:J4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"/>
  <sheetViews>
    <sheetView zoomScale="160" zoomScaleNormal="160" workbookViewId="0">
      <pane xSplit="4" ySplit="3" topLeftCell="E47" activePane="bottomRight" state="frozen"/>
      <selection pane="topRight" activeCell="E1" sqref="E1"/>
      <selection pane="bottomLeft" activeCell="A4" sqref="A4"/>
      <selection pane="bottomRight" activeCell="A63" sqref="A63"/>
    </sheetView>
  </sheetViews>
  <sheetFormatPr defaultColWidth="8.7109375" defaultRowHeight="15" x14ac:dyDescent="0.25"/>
  <cols>
    <col min="1" max="1" width="32" customWidth="1"/>
    <col min="2" max="2" width="12" customWidth="1"/>
    <col min="3" max="3" width="14" customWidth="1"/>
    <col min="4" max="4" width="16" customWidth="1"/>
    <col min="5" max="7" width="14" customWidth="1"/>
    <col min="8" max="8" width="18" customWidth="1"/>
    <col min="9" max="9" width="22" customWidth="1"/>
    <col min="10" max="10" width="30" customWidth="1"/>
  </cols>
  <sheetData>
    <row r="1" spans="1:10" ht="31.5" customHeight="1" x14ac:dyDescent="0.25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 x14ac:dyDescent="0.25">
      <c r="A2" s="26" t="s">
        <v>158</v>
      </c>
    </row>
    <row r="4" spans="1:10" ht="18" customHeight="1" x14ac:dyDescent="0.25">
      <c r="A4" s="3" t="s">
        <v>159</v>
      </c>
      <c r="B4" s="3"/>
      <c r="C4" s="3"/>
      <c r="D4" s="3"/>
      <c r="E4" s="3"/>
      <c r="F4" s="3"/>
      <c r="G4" s="3"/>
      <c r="H4" s="3"/>
      <c r="I4" s="3"/>
      <c r="J4" s="3"/>
    </row>
    <row r="5" spans="1:10" ht="30" customHeight="1" x14ac:dyDescent="0.25">
      <c r="A5" s="9" t="s">
        <v>76</v>
      </c>
      <c r="B5" s="9" t="s">
        <v>77</v>
      </c>
      <c r="C5" s="9" t="s">
        <v>41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  <c r="J5" s="9" t="s">
        <v>84</v>
      </c>
    </row>
    <row r="6" spans="1:10" ht="18" customHeight="1" x14ac:dyDescent="0.25">
      <c r="A6" s="10" t="s">
        <v>160</v>
      </c>
      <c r="B6" s="27" t="s">
        <v>86</v>
      </c>
      <c r="C6" s="28" t="s">
        <v>101</v>
      </c>
      <c r="D6" s="29"/>
      <c r="E6" s="11"/>
      <c r="F6" s="11"/>
      <c r="G6" s="11"/>
      <c r="H6" s="30" t="str">
        <f t="shared" ref="H6:H15" si="0">IF(E6="","—",IF(D6="","—",IF(ISNUMBER(D6),IF(E6&gt;=D6*1.1,"OUTPERFORM",IF(E6&gt;=D6*0.95,"ON TRACK",IF(E6&gt;=D6*0.85,"WATCH","ACTION"))),"—")))</f>
        <v>—</v>
      </c>
      <c r="I6" s="31" t="s">
        <v>161</v>
      </c>
      <c r="J6" s="31"/>
    </row>
    <row r="7" spans="1:10" ht="18" customHeight="1" x14ac:dyDescent="0.25">
      <c r="A7" s="14" t="s">
        <v>162</v>
      </c>
      <c r="B7" s="32" t="s">
        <v>86</v>
      </c>
      <c r="C7" s="33" t="s">
        <v>122</v>
      </c>
      <c r="D7" s="29"/>
      <c r="E7" s="11"/>
      <c r="F7" s="11"/>
      <c r="G7" s="11"/>
      <c r="H7" s="30" t="str">
        <f t="shared" si="0"/>
        <v>—</v>
      </c>
      <c r="I7" s="34" t="s">
        <v>161</v>
      </c>
      <c r="J7" s="34"/>
    </row>
    <row r="8" spans="1:10" ht="18" customHeight="1" x14ac:dyDescent="0.25">
      <c r="A8" s="10" t="s">
        <v>163</v>
      </c>
      <c r="B8" s="27" t="s">
        <v>86</v>
      </c>
      <c r="C8" s="28" t="s">
        <v>101</v>
      </c>
      <c r="D8" s="29"/>
      <c r="E8" s="11"/>
      <c r="F8" s="11"/>
      <c r="G8" s="11"/>
      <c r="H8" s="30" t="str">
        <f t="shared" si="0"/>
        <v>—</v>
      </c>
      <c r="I8" s="31" t="s">
        <v>161</v>
      </c>
      <c r="J8" s="31" t="s">
        <v>164</v>
      </c>
    </row>
    <row r="9" spans="1:10" ht="18" customHeight="1" x14ac:dyDescent="0.25">
      <c r="A9" s="14" t="s">
        <v>165</v>
      </c>
      <c r="B9" s="32" t="s">
        <v>86</v>
      </c>
      <c r="C9" s="33" t="s">
        <v>101</v>
      </c>
      <c r="D9" s="29"/>
      <c r="E9" s="11"/>
      <c r="F9" s="11"/>
      <c r="G9" s="11"/>
      <c r="H9" s="30" t="str">
        <f t="shared" si="0"/>
        <v>—</v>
      </c>
      <c r="I9" s="34" t="s">
        <v>161</v>
      </c>
      <c r="J9" s="34"/>
    </row>
    <row r="10" spans="1:10" ht="18" customHeight="1" x14ac:dyDescent="0.25">
      <c r="A10" s="10" t="s">
        <v>166</v>
      </c>
      <c r="B10" s="27" t="s">
        <v>86</v>
      </c>
      <c r="C10" s="28" t="s">
        <v>101</v>
      </c>
      <c r="D10" s="29"/>
      <c r="E10" s="11"/>
      <c r="F10" s="11"/>
      <c r="G10" s="11"/>
      <c r="H10" s="30" t="str">
        <f t="shared" si="0"/>
        <v>—</v>
      </c>
      <c r="I10" s="31" t="s">
        <v>161</v>
      </c>
      <c r="J10" s="31"/>
    </row>
    <row r="11" spans="1:10" ht="18" customHeight="1" x14ac:dyDescent="0.25">
      <c r="A11" s="14" t="s">
        <v>167</v>
      </c>
      <c r="B11" s="32" t="s">
        <v>86</v>
      </c>
      <c r="C11" s="33" t="s">
        <v>168</v>
      </c>
      <c r="D11" s="29"/>
      <c r="E11" s="11"/>
      <c r="F11" s="11"/>
      <c r="G11" s="11"/>
      <c r="H11" s="30" t="str">
        <f t="shared" si="0"/>
        <v>—</v>
      </c>
      <c r="I11" s="34" t="s">
        <v>161</v>
      </c>
      <c r="J11" s="34" t="s">
        <v>169</v>
      </c>
    </row>
    <row r="12" spans="1:10" ht="18" customHeight="1" x14ac:dyDescent="0.25">
      <c r="A12" s="10" t="s">
        <v>170</v>
      </c>
      <c r="B12" s="27" t="s">
        <v>86</v>
      </c>
      <c r="C12" s="28" t="s">
        <v>168</v>
      </c>
      <c r="D12" s="29"/>
      <c r="E12" s="11"/>
      <c r="F12" s="11"/>
      <c r="G12" s="11"/>
      <c r="H12" s="30" t="str">
        <f t="shared" si="0"/>
        <v>—</v>
      </c>
      <c r="I12" s="31" t="s">
        <v>161</v>
      </c>
      <c r="J12" s="31"/>
    </row>
    <row r="13" spans="1:10" ht="18" customHeight="1" x14ac:dyDescent="0.25">
      <c r="A13" s="14" t="s">
        <v>171</v>
      </c>
      <c r="B13" s="32" t="s">
        <v>86</v>
      </c>
      <c r="C13" s="33" t="s">
        <v>168</v>
      </c>
      <c r="D13" s="29"/>
      <c r="E13" s="11"/>
      <c r="F13" s="11"/>
      <c r="G13" s="11"/>
      <c r="H13" s="30" t="str">
        <f t="shared" si="0"/>
        <v>—</v>
      </c>
      <c r="I13" s="34" t="s">
        <v>161</v>
      </c>
      <c r="J13" s="34"/>
    </row>
    <row r="14" spans="1:10" ht="18" customHeight="1" x14ac:dyDescent="0.25">
      <c r="A14" s="10" t="s">
        <v>172</v>
      </c>
      <c r="B14" s="27" t="s">
        <v>107</v>
      </c>
      <c r="C14" s="28" t="s">
        <v>101</v>
      </c>
      <c r="D14" s="29"/>
      <c r="E14" s="11"/>
      <c r="F14" s="11"/>
      <c r="G14" s="11"/>
      <c r="H14" s="30" t="str">
        <f t="shared" si="0"/>
        <v>—</v>
      </c>
      <c r="I14" s="31" t="s">
        <v>161</v>
      </c>
      <c r="J14" s="31"/>
    </row>
    <row r="15" spans="1:10" ht="18" customHeight="1" x14ac:dyDescent="0.25">
      <c r="A15" s="14" t="s">
        <v>173</v>
      </c>
      <c r="B15" s="32" t="s">
        <v>110</v>
      </c>
      <c r="C15" s="33" t="s">
        <v>101</v>
      </c>
      <c r="D15" s="29"/>
      <c r="E15" s="11"/>
      <c r="F15" s="11"/>
      <c r="G15" s="11"/>
      <c r="H15" s="30" t="str">
        <f t="shared" si="0"/>
        <v>—</v>
      </c>
      <c r="I15" s="34" t="s">
        <v>161</v>
      </c>
      <c r="J15" s="34"/>
    </row>
    <row r="17" spans="1:10" ht="18" customHeight="1" x14ac:dyDescent="0.25">
      <c r="A17" s="3" t="s">
        <v>174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ht="30" customHeight="1" x14ac:dyDescent="0.25">
      <c r="A18" s="9" t="s">
        <v>76</v>
      </c>
      <c r="B18" s="9" t="s">
        <v>77</v>
      </c>
      <c r="C18" s="9" t="s">
        <v>41</v>
      </c>
      <c r="D18" s="9" t="s">
        <v>78</v>
      </c>
      <c r="E18" s="9" t="s">
        <v>79</v>
      </c>
      <c r="F18" s="9" t="s">
        <v>80</v>
      </c>
      <c r="G18" s="9" t="s">
        <v>81</v>
      </c>
      <c r="H18" s="9" t="s">
        <v>82</v>
      </c>
      <c r="I18" s="9" t="s">
        <v>83</v>
      </c>
      <c r="J18" s="9" t="s">
        <v>84</v>
      </c>
    </row>
    <row r="19" spans="1:10" ht="18" customHeight="1" x14ac:dyDescent="0.25">
      <c r="A19" s="10" t="s">
        <v>175</v>
      </c>
      <c r="B19" s="27" t="s">
        <v>107</v>
      </c>
      <c r="C19" s="28" t="s">
        <v>139</v>
      </c>
      <c r="D19" s="29">
        <v>40</v>
      </c>
      <c r="E19" s="11"/>
      <c r="F19" s="11"/>
      <c r="G19" s="11"/>
      <c r="H19" s="30" t="str">
        <f t="shared" ref="H19:H24" si="1">IF(E19="","—",IF(D19="","—",IF(ISNUMBER(D19),IF(E19&gt;=D19*1.1,"OUTPERFORM",IF(E19&gt;=D19*0.95,"ON TRACK",IF(E19&gt;=D19*0.85,"WATCH","ACTION"))),"—")))</f>
        <v>—</v>
      </c>
      <c r="I19" s="31" t="s">
        <v>140</v>
      </c>
      <c r="J19" s="31" t="s">
        <v>176</v>
      </c>
    </row>
    <row r="20" spans="1:10" ht="18" customHeight="1" x14ac:dyDescent="0.25">
      <c r="A20" s="14" t="s">
        <v>177</v>
      </c>
      <c r="B20" s="32" t="s">
        <v>107</v>
      </c>
      <c r="C20" s="33" t="s">
        <v>139</v>
      </c>
      <c r="D20" s="29">
        <v>42</v>
      </c>
      <c r="E20" s="11"/>
      <c r="F20" s="11"/>
      <c r="G20" s="11"/>
      <c r="H20" s="30" t="str">
        <f t="shared" si="1"/>
        <v>—</v>
      </c>
      <c r="I20" s="34" t="s">
        <v>140</v>
      </c>
      <c r="J20" s="34"/>
    </row>
    <row r="21" spans="1:10" ht="18" customHeight="1" x14ac:dyDescent="0.25">
      <c r="A21" s="10" t="s">
        <v>178</v>
      </c>
      <c r="B21" s="27" t="s">
        <v>86</v>
      </c>
      <c r="C21" s="28" t="s">
        <v>101</v>
      </c>
      <c r="D21" s="29"/>
      <c r="E21" s="11"/>
      <c r="F21" s="11"/>
      <c r="G21" s="11"/>
      <c r="H21" s="30" t="str">
        <f t="shared" si="1"/>
        <v>—</v>
      </c>
      <c r="I21" s="31" t="s">
        <v>140</v>
      </c>
      <c r="J21" s="31"/>
    </row>
    <row r="22" spans="1:10" ht="18" customHeight="1" x14ac:dyDescent="0.25">
      <c r="A22" s="14" t="s">
        <v>179</v>
      </c>
      <c r="B22" s="32" t="s">
        <v>86</v>
      </c>
      <c r="C22" s="33" t="s">
        <v>101</v>
      </c>
      <c r="D22" s="29"/>
      <c r="E22" s="11"/>
      <c r="F22" s="11"/>
      <c r="G22" s="11"/>
      <c r="H22" s="30" t="str">
        <f t="shared" si="1"/>
        <v>—</v>
      </c>
      <c r="I22" s="34" t="s">
        <v>140</v>
      </c>
      <c r="J22" s="34"/>
    </row>
    <row r="23" spans="1:10" ht="18" customHeight="1" x14ac:dyDescent="0.25">
      <c r="A23" s="10" t="s">
        <v>180</v>
      </c>
      <c r="B23" s="27" t="s">
        <v>107</v>
      </c>
      <c r="C23" s="28" t="s">
        <v>101</v>
      </c>
      <c r="D23" s="29"/>
      <c r="E23" s="11"/>
      <c r="F23" s="11"/>
      <c r="G23" s="11"/>
      <c r="H23" s="30" t="str">
        <f t="shared" si="1"/>
        <v>—</v>
      </c>
      <c r="I23" s="31" t="s">
        <v>140</v>
      </c>
      <c r="J23" s="31"/>
    </row>
    <row r="24" spans="1:10" ht="18" customHeight="1" x14ac:dyDescent="0.25">
      <c r="A24" s="14" t="s">
        <v>181</v>
      </c>
      <c r="B24" s="32" t="s">
        <v>110</v>
      </c>
      <c r="C24" s="33" t="s">
        <v>101</v>
      </c>
      <c r="D24" s="29"/>
      <c r="E24" s="11"/>
      <c r="F24" s="11"/>
      <c r="G24" s="11"/>
      <c r="H24" s="30" t="str">
        <f t="shared" si="1"/>
        <v>—</v>
      </c>
      <c r="I24" s="34" t="s">
        <v>140</v>
      </c>
      <c r="J24" s="34"/>
    </row>
    <row r="26" spans="1:10" ht="18" customHeight="1" x14ac:dyDescent="0.25">
      <c r="A26" s="3" t="s">
        <v>182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ht="30" customHeight="1" x14ac:dyDescent="0.25">
      <c r="A27" s="9" t="s">
        <v>76</v>
      </c>
      <c r="B27" s="9" t="s">
        <v>77</v>
      </c>
      <c r="C27" s="9" t="s">
        <v>41</v>
      </c>
      <c r="D27" s="9" t="s">
        <v>78</v>
      </c>
      <c r="E27" s="9" t="s">
        <v>79</v>
      </c>
      <c r="F27" s="9" t="s">
        <v>80</v>
      </c>
      <c r="G27" s="9" t="s">
        <v>81</v>
      </c>
      <c r="H27" s="9" t="s">
        <v>82</v>
      </c>
      <c r="I27" s="9" t="s">
        <v>83</v>
      </c>
      <c r="J27" s="9" t="s">
        <v>84</v>
      </c>
    </row>
    <row r="28" spans="1:10" ht="18" customHeight="1" x14ac:dyDescent="0.25">
      <c r="A28" s="10" t="s">
        <v>160</v>
      </c>
      <c r="B28" s="27" t="s">
        <v>86</v>
      </c>
      <c r="C28" s="28" t="s">
        <v>101</v>
      </c>
      <c r="D28" s="29">
        <v>100700</v>
      </c>
      <c r="E28" s="11"/>
      <c r="F28" s="11"/>
      <c r="G28" s="11"/>
      <c r="H28" s="30" t="str">
        <f t="shared" ref="H28:H41" si="2">IF(E28="","—",IF(D28="","—",IF(ISNUMBER(D28),IF(E28&gt;=D28*1.1,"OUTPERFORM",IF(E28&gt;=D28*0.95,"ON TRACK",IF(E28&gt;=D28*0.85,"WATCH","ACTION"))),"—")))</f>
        <v>—</v>
      </c>
      <c r="I28" s="31" t="s">
        <v>161</v>
      </c>
      <c r="J28" s="31" t="s">
        <v>183</v>
      </c>
    </row>
    <row r="29" spans="1:10" ht="18" customHeight="1" x14ac:dyDescent="0.25">
      <c r="A29" s="14" t="s">
        <v>184</v>
      </c>
      <c r="B29" s="32" t="s">
        <v>86</v>
      </c>
      <c r="C29" s="33" t="s">
        <v>101</v>
      </c>
      <c r="D29" s="29">
        <v>950</v>
      </c>
      <c r="E29" s="11"/>
      <c r="F29" s="11"/>
      <c r="G29" s="11"/>
      <c r="H29" s="30" t="str">
        <f t="shared" si="2"/>
        <v>—</v>
      </c>
      <c r="I29" s="34" t="s">
        <v>161</v>
      </c>
      <c r="J29" s="34" t="s">
        <v>185</v>
      </c>
    </row>
    <row r="30" spans="1:10" ht="18" customHeight="1" x14ac:dyDescent="0.25">
      <c r="A30" s="10" t="s">
        <v>186</v>
      </c>
      <c r="B30" s="27" t="s">
        <v>86</v>
      </c>
      <c r="C30" s="28" t="s">
        <v>122</v>
      </c>
      <c r="D30" s="29">
        <v>106</v>
      </c>
      <c r="E30" s="11"/>
      <c r="F30" s="11"/>
      <c r="G30" s="11"/>
      <c r="H30" s="30" t="str">
        <f t="shared" si="2"/>
        <v>—</v>
      </c>
      <c r="I30" s="31" t="s">
        <v>161</v>
      </c>
      <c r="J30" s="31" t="s">
        <v>187</v>
      </c>
    </row>
    <row r="31" spans="1:10" ht="18" customHeight="1" x14ac:dyDescent="0.25">
      <c r="A31" s="14" t="s">
        <v>188</v>
      </c>
      <c r="B31" s="32" t="s">
        <v>86</v>
      </c>
      <c r="C31" s="33" t="s">
        <v>189</v>
      </c>
      <c r="D31" s="29">
        <v>50</v>
      </c>
      <c r="E31" s="11"/>
      <c r="F31" s="11"/>
      <c r="G31" s="11"/>
      <c r="H31" s="30" t="str">
        <f t="shared" si="2"/>
        <v>—</v>
      </c>
      <c r="I31" s="34" t="s">
        <v>161</v>
      </c>
      <c r="J31" s="34" t="s">
        <v>190</v>
      </c>
    </row>
    <row r="32" spans="1:10" ht="18" customHeight="1" x14ac:dyDescent="0.25">
      <c r="A32" s="10" t="s">
        <v>191</v>
      </c>
      <c r="B32" s="27" t="s">
        <v>86</v>
      </c>
      <c r="C32" s="28" t="s">
        <v>192</v>
      </c>
      <c r="D32" s="29">
        <v>1.5</v>
      </c>
      <c r="E32" s="11"/>
      <c r="F32" s="11"/>
      <c r="G32" s="11"/>
      <c r="H32" s="30" t="str">
        <f t="shared" si="2"/>
        <v>—</v>
      </c>
      <c r="I32" s="31" t="s">
        <v>161</v>
      </c>
      <c r="J32" s="31" t="s">
        <v>193</v>
      </c>
    </row>
    <row r="33" spans="1:10" ht="18" customHeight="1" x14ac:dyDescent="0.25">
      <c r="A33" s="14" t="s">
        <v>194</v>
      </c>
      <c r="B33" s="32" t="s">
        <v>195</v>
      </c>
      <c r="C33" s="33" t="s">
        <v>87</v>
      </c>
      <c r="D33" s="29">
        <v>65</v>
      </c>
      <c r="E33" s="11"/>
      <c r="F33" s="11"/>
      <c r="G33" s="11"/>
      <c r="H33" s="30" t="str">
        <f t="shared" si="2"/>
        <v>—</v>
      </c>
      <c r="I33" s="34" t="s">
        <v>161</v>
      </c>
      <c r="J33" s="34" t="s">
        <v>196</v>
      </c>
    </row>
    <row r="34" spans="1:10" ht="18" customHeight="1" x14ac:dyDescent="0.25">
      <c r="A34" s="10" t="s">
        <v>197</v>
      </c>
      <c r="B34" s="27" t="s">
        <v>195</v>
      </c>
      <c r="C34" s="28" t="s">
        <v>139</v>
      </c>
      <c r="D34" s="29">
        <v>28</v>
      </c>
      <c r="E34" s="11"/>
      <c r="F34" s="11"/>
      <c r="G34" s="11"/>
      <c r="H34" s="30" t="str">
        <f t="shared" si="2"/>
        <v>—</v>
      </c>
      <c r="I34" s="31" t="s">
        <v>161</v>
      </c>
      <c r="J34" s="31" t="s">
        <v>198</v>
      </c>
    </row>
    <row r="35" spans="1:10" ht="18" customHeight="1" x14ac:dyDescent="0.25">
      <c r="A35" s="14" t="s">
        <v>165</v>
      </c>
      <c r="B35" s="32" t="s">
        <v>86</v>
      </c>
      <c r="C35" s="33" t="s">
        <v>101</v>
      </c>
      <c r="D35" s="29"/>
      <c r="E35" s="11"/>
      <c r="F35" s="11"/>
      <c r="G35" s="11"/>
      <c r="H35" s="30" t="str">
        <f t="shared" si="2"/>
        <v>—</v>
      </c>
      <c r="I35" s="34" t="s">
        <v>161</v>
      </c>
      <c r="J35" s="34"/>
    </row>
    <row r="36" spans="1:10" ht="18" customHeight="1" x14ac:dyDescent="0.25">
      <c r="A36" s="10" t="s">
        <v>166</v>
      </c>
      <c r="B36" s="27" t="s">
        <v>86</v>
      </c>
      <c r="C36" s="28" t="s">
        <v>101</v>
      </c>
      <c r="D36" s="29"/>
      <c r="E36" s="11"/>
      <c r="F36" s="11"/>
      <c r="G36" s="11"/>
      <c r="H36" s="30" t="str">
        <f t="shared" si="2"/>
        <v>—</v>
      </c>
      <c r="I36" s="31" t="s">
        <v>161</v>
      </c>
      <c r="J36" s="31"/>
    </row>
    <row r="37" spans="1:10" ht="18" customHeight="1" x14ac:dyDescent="0.25">
      <c r="A37" s="14" t="s">
        <v>167</v>
      </c>
      <c r="B37" s="32" t="s">
        <v>86</v>
      </c>
      <c r="C37" s="33" t="s">
        <v>168</v>
      </c>
      <c r="D37" s="29"/>
      <c r="E37" s="11"/>
      <c r="F37" s="11"/>
      <c r="G37" s="11"/>
      <c r="H37" s="30" t="str">
        <f t="shared" si="2"/>
        <v>—</v>
      </c>
      <c r="I37" s="34" t="s">
        <v>161</v>
      </c>
      <c r="J37" s="34"/>
    </row>
    <row r="38" spans="1:10" ht="18" customHeight="1" x14ac:dyDescent="0.25">
      <c r="A38" s="10" t="s">
        <v>170</v>
      </c>
      <c r="B38" s="27" t="s">
        <v>86</v>
      </c>
      <c r="C38" s="28" t="s">
        <v>168</v>
      </c>
      <c r="D38" s="29"/>
      <c r="E38" s="11"/>
      <c r="F38" s="11"/>
      <c r="G38" s="11"/>
      <c r="H38" s="30" t="str">
        <f t="shared" si="2"/>
        <v>—</v>
      </c>
      <c r="I38" s="31" t="s">
        <v>161</v>
      </c>
      <c r="J38" s="31"/>
    </row>
    <row r="39" spans="1:10" ht="18" customHeight="1" x14ac:dyDescent="0.25">
      <c r="A39" s="14" t="s">
        <v>171</v>
      </c>
      <c r="B39" s="32" t="s">
        <v>86</v>
      </c>
      <c r="C39" s="33" t="s">
        <v>168</v>
      </c>
      <c r="D39" s="29"/>
      <c r="E39" s="11"/>
      <c r="F39" s="11"/>
      <c r="G39" s="11"/>
      <c r="H39" s="30" t="str">
        <f t="shared" si="2"/>
        <v>—</v>
      </c>
      <c r="I39" s="34" t="s">
        <v>161</v>
      </c>
      <c r="J39" s="34"/>
    </row>
    <row r="40" spans="1:10" ht="18" customHeight="1" x14ac:dyDescent="0.25">
      <c r="A40" s="10" t="s">
        <v>199</v>
      </c>
      <c r="B40" s="27" t="s">
        <v>107</v>
      </c>
      <c r="C40" s="28" t="s">
        <v>101</v>
      </c>
      <c r="D40" s="29"/>
      <c r="E40" s="11"/>
      <c r="F40" s="11"/>
      <c r="G40" s="11"/>
      <c r="H40" s="30" t="str">
        <f t="shared" si="2"/>
        <v>—</v>
      </c>
      <c r="I40" s="31" t="s">
        <v>161</v>
      </c>
      <c r="J40" s="31"/>
    </row>
    <row r="41" spans="1:10" ht="18" customHeight="1" x14ac:dyDescent="0.25">
      <c r="A41" s="14" t="s">
        <v>200</v>
      </c>
      <c r="B41" s="32" t="s">
        <v>110</v>
      </c>
      <c r="C41" s="33" t="s">
        <v>101</v>
      </c>
      <c r="D41" s="29"/>
      <c r="E41" s="11"/>
      <c r="F41" s="11"/>
      <c r="G41" s="11"/>
      <c r="H41" s="30" t="str">
        <f t="shared" si="2"/>
        <v>—</v>
      </c>
      <c r="I41" s="34" t="s">
        <v>161</v>
      </c>
      <c r="J41" s="34"/>
    </row>
    <row r="43" spans="1:10" ht="18" customHeight="1" x14ac:dyDescent="0.25">
      <c r="A43" s="3" t="s">
        <v>201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ht="30" customHeight="1" x14ac:dyDescent="0.25">
      <c r="A44" s="9" t="s">
        <v>76</v>
      </c>
      <c r="B44" s="9" t="s">
        <v>77</v>
      </c>
      <c r="C44" s="9" t="s">
        <v>41</v>
      </c>
      <c r="D44" s="9" t="s">
        <v>78</v>
      </c>
      <c r="E44" s="9" t="s">
        <v>79</v>
      </c>
      <c r="F44" s="9" t="s">
        <v>80</v>
      </c>
      <c r="G44" s="9" t="s">
        <v>81</v>
      </c>
      <c r="H44" s="9" t="s">
        <v>82</v>
      </c>
      <c r="I44" s="9" t="s">
        <v>83</v>
      </c>
      <c r="J44" s="9" t="s">
        <v>84</v>
      </c>
    </row>
    <row r="45" spans="1:10" ht="18" customHeight="1" x14ac:dyDescent="0.25">
      <c r="A45" s="10" t="s">
        <v>175</v>
      </c>
      <c r="B45" s="27" t="s">
        <v>107</v>
      </c>
      <c r="C45" s="28" t="s">
        <v>139</v>
      </c>
      <c r="D45" s="29">
        <v>28</v>
      </c>
      <c r="E45" s="11"/>
      <c r="F45" s="11"/>
      <c r="G45" s="11"/>
      <c r="H45" s="30" t="str">
        <f t="shared" ref="H45:H50" si="3">IF(E45="","—",IF(D45="","—",IF(ISNUMBER(D45),IF(E45&gt;=D45*1.1,"OUTPERFORM",IF(E45&gt;=D45*0.95,"ON TRACK",IF(E45&gt;=D45*0.85,"WATCH","ACTION"))),"—")))</f>
        <v>—</v>
      </c>
      <c r="I45" s="31" t="s">
        <v>140</v>
      </c>
      <c r="J45" s="31" t="s">
        <v>202</v>
      </c>
    </row>
    <row r="46" spans="1:10" ht="18" customHeight="1" x14ac:dyDescent="0.25">
      <c r="A46" s="14" t="s">
        <v>177</v>
      </c>
      <c r="B46" s="32" t="s">
        <v>107</v>
      </c>
      <c r="C46" s="33" t="s">
        <v>139</v>
      </c>
      <c r="D46" s="29">
        <v>30</v>
      </c>
      <c r="E46" s="11"/>
      <c r="F46" s="11"/>
      <c r="G46" s="11"/>
      <c r="H46" s="30" t="str">
        <f t="shared" si="3"/>
        <v>—</v>
      </c>
      <c r="I46" s="34" t="s">
        <v>140</v>
      </c>
      <c r="J46" s="34" t="s">
        <v>203</v>
      </c>
    </row>
    <row r="47" spans="1:10" ht="18" customHeight="1" x14ac:dyDescent="0.25">
      <c r="A47" s="10" t="s">
        <v>178</v>
      </c>
      <c r="B47" s="27" t="s">
        <v>86</v>
      </c>
      <c r="C47" s="28" t="s">
        <v>101</v>
      </c>
      <c r="D47" s="29"/>
      <c r="E47" s="11"/>
      <c r="F47" s="11"/>
      <c r="G47" s="11"/>
      <c r="H47" s="30" t="str">
        <f t="shared" si="3"/>
        <v>—</v>
      </c>
      <c r="I47" s="31" t="s">
        <v>140</v>
      </c>
      <c r="J47" s="31"/>
    </row>
    <row r="48" spans="1:10" ht="18" customHeight="1" x14ac:dyDescent="0.25">
      <c r="A48" s="14" t="s">
        <v>179</v>
      </c>
      <c r="B48" s="32" t="s">
        <v>86</v>
      </c>
      <c r="C48" s="33" t="s">
        <v>101</v>
      </c>
      <c r="D48" s="29"/>
      <c r="E48" s="11"/>
      <c r="F48" s="11"/>
      <c r="G48" s="11"/>
      <c r="H48" s="30" t="str">
        <f t="shared" si="3"/>
        <v>—</v>
      </c>
      <c r="I48" s="34" t="s">
        <v>140</v>
      </c>
      <c r="J48" s="34"/>
    </row>
    <row r="49" spans="1:10" ht="18" customHeight="1" x14ac:dyDescent="0.25">
      <c r="A49" s="10" t="s">
        <v>180</v>
      </c>
      <c r="B49" s="27" t="s">
        <v>107</v>
      </c>
      <c r="C49" s="28" t="s">
        <v>101</v>
      </c>
      <c r="D49" s="29"/>
      <c r="E49" s="11"/>
      <c r="F49" s="11"/>
      <c r="G49" s="11"/>
      <c r="H49" s="30" t="str">
        <f t="shared" si="3"/>
        <v>—</v>
      </c>
      <c r="I49" s="31" t="s">
        <v>140</v>
      </c>
      <c r="J49" s="31"/>
    </row>
    <row r="50" spans="1:10" ht="18" customHeight="1" x14ac:dyDescent="0.25">
      <c r="A50" s="14" t="s">
        <v>181</v>
      </c>
      <c r="B50" s="32" t="s">
        <v>110</v>
      </c>
      <c r="C50" s="33" t="s">
        <v>101</v>
      </c>
      <c r="D50" s="29"/>
      <c r="E50" s="11"/>
      <c r="F50" s="11"/>
      <c r="G50" s="11"/>
      <c r="H50" s="30" t="str">
        <f t="shared" si="3"/>
        <v>—</v>
      </c>
      <c r="I50" s="34" t="s">
        <v>140</v>
      </c>
      <c r="J50" s="34"/>
    </row>
  </sheetData>
  <mergeCells count="5">
    <mergeCell ref="A1:J1"/>
    <mergeCell ref="A4:J4"/>
    <mergeCell ref="A17:J17"/>
    <mergeCell ref="A26:J26"/>
    <mergeCell ref="A43:J4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zoomScale="175" zoomScaleNormal="175" workbookViewId="0">
      <pane xSplit="4" ySplit="3" topLeftCell="E28" activePane="bottomRight" state="frozen"/>
      <selection pane="topRight" activeCell="E1" sqref="E1"/>
      <selection pane="bottomLeft" activeCell="A4" sqref="A4"/>
      <selection pane="bottomRight" activeCell="H40" sqref="H40"/>
    </sheetView>
  </sheetViews>
  <sheetFormatPr defaultColWidth="8.7109375" defaultRowHeight="15" x14ac:dyDescent="0.25"/>
  <cols>
    <col min="1" max="1" width="32" customWidth="1"/>
    <col min="2" max="2" width="12" customWidth="1"/>
    <col min="3" max="3" width="14" customWidth="1"/>
    <col min="4" max="4" width="16" customWidth="1"/>
    <col min="5" max="7" width="14" customWidth="1"/>
    <col min="8" max="8" width="18" customWidth="1"/>
    <col min="9" max="9" width="22" customWidth="1"/>
    <col min="10" max="10" width="30" customWidth="1"/>
  </cols>
  <sheetData>
    <row r="1" spans="1:10" ht="31.5" customHeight="1" x14ac:dyDescent="0.25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 x14ac:dyDescent="0.25">
      <c r="A2" s="26" t="s">
        <v>205</v>
      </c>
    </row>
    <row r="4" spans="1:10" ht="18" customHeight="1" x14ac:dyDescent="0.25">
      <c r="A4" s="3" t="s">
        <v>206</v>
      </c>
      <c r="B4" s="3"/>
      <c r="C4" s="3"/>
      <c r="D4" s="3"/>
      <c r="E4" s="3"/>
      <c r="F4" s="3"/>
      <c r="G4" s="3"/>
      <c r="H4" s="3"/>
      <c r="I4" s="3"/>
      <c r="J4" s="3"/>
    </row>
    <row r="5" spans="1:10" ht="30" customHeight="1" x14ac:dyDescent="0.25">
      <c r="A5" s="9" t="s">
        <v>76</v>
      </c>
      <c r="B5" s="9" t="s">
        <v>77</v>
      </c>
      <c r="C5" s="9" t="s">
        <v>41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  <c r="J5" s="9" t="s">
        <v>84</v>
      </c>
    </row>
    <row r="6" spans="1:10" ht="18" customHeight="1" x14ac:dyDescent="0.25">
      <c r="A6" s="10" t="s">
        <v>207</v>
      </c>
      <c r="B6" s="27" t="s">
        <v>86</v>
      </c>
      <c r="C6" s="28" t="s">
        <v>129</v>
      </c>
      <c r="D6" s="29">
        <v>5</v>
      </c>
      <c r="E6" s="11"/>
      <c r="F6" s="11"/>
      <c r="G6" s="11"/>
      <c r="H6" s="30" t="str">
        <f t="shared" ref="H6:H16" si="0">IF(E6="","—",IF(D6="","—",IF(ISNUMBER(D6),IF(E6&gt;=D6*1.1,"OUTPERFORM",IF(E6&gt;=D6*0.95,"ON TRACK",IF(E6&gt;=D6*0.85,"WATCH","ACTION"))),"—")))</f>
        <v>—</v>
      </c>
      <c r="I6" s="31" t="s">
        <v>208</v>
      </c>
      <c r="J6" s="31" t="s">
        <v>209</v>
      </c>
    </row>
    <row r="7" spans="1:10" ht="18" customHeight="1" x14ac:dyDescent="0.25">
      <c r="A7" s="14" t="s">
        <v>210</v>
      </c>
      <c r="B7" s="32" t="s">
        <v>86</v>
      </c>
      <c r="C7" s="33" t="s">
        <v>129</v>
      </c>
      <c r="D7" s="29"/>
      <c r="E7" s="11"/>
      <c r="F7" s="11"/>
      <c r="G7" s="11"/>
      <c r="H7" s="30" t="str">
        <f t="shared" si="0"/>
        <v>—</v>
      </c>
      <c r="I7" s="34" t="s">
        <v>208</v>
      </c>
      <c r="J7" s="34" t="s">
        <v>211</v>
      </c>
    </row>
    <row r="8" spans="1:10" ht="18" customHeight="1" x14ac:dyDescent="0.25">
      <c r="A8" s="10" t="s">
        <v>212</v>
      </c>
      <c r="B8" s="27" t="s">
        <v>86</v>
      </c>
      <c r="C8" s="28" t="s">
        <v>129</v>
      </c>
      <c r="D8" s="29">
        <v>3</v>
      </c>
      <c r="E8" s="11"/>
      <c r="F8" s="11"/>
      <c r="G8" s="11"/>
      <c r="H8" s="30" t="str">
        <f t="shared" si="0"/>
        <v>—</v>
      </c>
      <c r="I8" s="31" t="s">
        <v>208</v>
      </c>
      <c r="J8" s="31"/>
    </row>
    <row r="9" spans="1:10" ht="18" customHeight="1" x14ac:dyDescent="0.25">
      <c r="A9" s="14" t="s">
        <v>213</v>
      </c>
      <c r="B9" s="32" t="s">
        <v>86</v>
      </c>
      <c r="C9" s="33" t="s">
        <v>87</v>
      </c>
      <c r="D9" s="29">
        <v>60</v>
      </c>
      <c r="E9" s="11"/>
      <c r="F9" s="11"/>
      <c r="G9" s="11"/>
      <c r="H9" s="30" t="str">
        <f t="shared" si="0"/>
        <v>—</v>
      </c>
      <c r="I9" s="34" t="s">
        <v>208</v>
      </c>
      <c r="J9" s="34" t="s">
        <v>214</v>
      </c>
    </row>
    <row r="10" spans="1:10" ht="18" customHeight="1" x14ac:dyDescent="0.25">
      <c r="A10" s="10" t="s">
        <v>215</v>
      </c>
      <c r="B10" s="27" t="s">
        <v>86</v>
      </c>
      <c r="C10" s="28" t="s">
        <v>101</v>
      </c>
      <c r="D10" s="29"/>
      <c r="E10" s="11"/>
      <c r="F10" s="11"/>
      <c r="G10" s="11"/>
      <c r="H10" s="30" t="str">
        <f t="shared" si="0"/>
        <v>—</v>
      </c>
      <c r="I10" s="31" t="s">
        <v>208</v>
      </c>
      <c r="J10" s="31" t="s">
        <v>216</v>
      </c>
    </row>
    <row r="11" spans="1:10" ht="18" customHeight="1" x14ac:dyDescent="0.25">
      <c r="A11" s="14" t="s">
        <v>217</v>
      </c>
      <c r="B11" s="32" t="s">
        <v>86</v>
      </c>
      <c r="C11" s="33" t="s">
        <v>129</v>
      </c>
      <c r="D11" s="29"/>
      <c r="E11" s="11"/>
      <c r="F11" s="11"/>
      <c r="G11" s="11"/>
      <c r="H11" s="30" t="str">
        <f t="shared" si="0"/>
        <v>—</v>
      </c>
      <c r="I11" s="34" t="s">
        <v>208</v>
      </c>
      <c r="J11" s="34"/>
    </row>
    <row r="12" spans="1:10" ht="18" customHeight="1" x14ac:dyDescent="0.25">
      <c r="A12" s="10" t="s">
        <v>218</v>
      </c>
      <c r="B12" s="27" t="s">
        <v>86</v>
      </c>
      <c r="C12" s="28" t="s">
        <v>129</v>
      </c>
      <c r="D12" s="29"/>
      <c r="E12" s="11"/>
      <c r="F12" s="11"/>
      <c r="G12" s="11"/>
      <c r="H12" s="30" t="str">
        <f t="shared" si="0"/>
        <v>—</v>
      </c>
      <c r="I12" s="31" t="s">
        <v>208</v>
      </c>
      <c r="J12" s="31"/>
    </row>
    <row r="13" spans="1:10" ht="18" customHeight="1" x14ac:dyDescent="0.25">
      <c r="A13" s="14" t="s">
        <v>219</v>
      </c>
      <c r="B13" s="32" t="s">
        <v>86</v>
      </c>
      <c r="C13" s="33" t="s">
        <v>129</v>
      </c>
      <c r="D13" s="29"/>
      <c r="E13" s="11"/>
      <c r="F13" s="11"/>
      <c r="G13" s="11"/>
      <c r="H13" s="30" t="str">
        <f t="shared" si="0"/>
        <v>—</v>
      </c>
      <c r="I13" s="34" t="s">
        <v>208</v>
      </c>
      <c r="J13" s="34"/>
    </row>
    <row r="14" spans="1:10" ht="18" customHeight="1" x14ac:dyDescent="0.25">
      <c r="A14" s="10" t="s">
        <v>220</v>
      </c>
      <c r="B14" s="27" t="s">
        <v>86</v>
      </c>
      <c r="C14" s="28" t="s">
        <v>129</v>
      </c>
      <c r="D14" s="29"/>
      <c r="E14" s="11"/>
      <c r="F14" s="11"/>
      <c r="G14" s="11"/>
      <c r="H14" s="30" t="str">
        <f t="shared" si="0"/>
        <v>—</v>
      </c>
      <c r="I14" s="31" t="s">
        <v>208</v>
      </c>
      <c r="J14" s="31"/>
    </row>
    <row r="15" spans="1:10" ht="18" customHeight="1" x14ac:dyDescent="0.25">
      <c r="A15" s="14" t="s">
        <v>221</v>
      </c>
      <c r="B15" s="32" t="s">
        <v>107</v>
      </c>
      <c r="C15" s="33" t="s">
        <v>129</v>
      </c>
      <c r="D15" s="29"/>
      <c r="E15" s="11"/>
      <c r="F15" s="11"/>
      <c r="G15" s="11"/>
      <c r="H15" s="30" t="str">
        <f t="shared" si="0"/>
        <v>—</v>
      </c>
      <c r="I15" s="34" t="s">
        <v>208</v>
      </c>
      <c r="J15" s="34"/>
    </row>
    <row r="16" spans="1:10" ht="18" customHeight="1" x14ac:dyDescent="0.25">
      <c r="A16" s="10" t="s">
        <v>222</v>
      </c>
      <c r="B16" s="27" t="s">
        <v>110</v>
      </c>
      <c r="C16" s="28" t="s">
        <v>129</v>
      </c>
      <c r="D16" s="29"/>
      <c r="E16" s="11"/>
      <c r="F16" s="11"/>
      <c r="G16" s="11"/>
      <c r="H16" s="30" t="str">
        <f t="shared" si="0"/>
        <v>—</v>
      </c>
      <c r="I16" s="31" t="s">
        <v>208</v>
      </c>
      <c r="J16" s="31"/>
    </row>
    <row r="18" spans="1:10" ht="18" customHeight="1" x14ac:dyDescent="0.25">
      <c r="A18" s="3" t="s">
        <v>223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30" customHeight="1" x14ac:dyDescent="0.25">
      <c r="A19" s="9" t="s">
        <v>76</v>
      </c>
      <c r="B19" s="9" t="s">
        <v>77</v>
      </c>
      <c r="C19" s="9" t="s">
        <v>41</v>
      </c>
      <c r="D19" s="9" t="s">
        <v>78</v>
      </c>
      <c r="E19" s="9" t="s">
        <v>79</v>
      </c>
      <c r="F19" s="9" t="s">
        <v>80</v>
      </c>
      <c r="G19" s="9" t="s">
        <v>81</v>
      </c>
      <c r="H19" s="9" t="s">
        <v>82</v>
      </c>
      <c r="I19" s="9" t="s">
        <v>83</v>
      </c>
      <c r="J19" s="9" t="s">
        <v>84</v>
      </c>
    </row>
    <row r="20" spans="1:10" ht="18" customHeight="1" x14ac:dyDescent="0.25">
      <c r="A20" s="10" t="s">
        <v>224</v>
      </c>
      <c r="B20" s="27" t="s">
        <v>86</v>
      </c>
      <c r="C20" s="28" t="s">
        <v>129</v>
      </c>
      <c r="D20" s="29"/>
      <c r="E20" s="11"/>
      <c r="F20" s="11"/>
      <c r="G20" s="11"/>
      <c r="H20" s="30" t="str">
        <f>IF(E20="","—",IF(D20="","—",IF(ISNUMBER(D20),IF(E20&gt;=D20*1.1,"OUTPERFORM",IF(E20&gt;=D20*0.95,"ON TRACK",IF(E20&gt;=D20*0.85,"WATCH","ACTION"))),"—")))</f>
        <v>—</v>
      </c>
      <c r="I20" s="31" t="s">
        <v>208</v>
      </c>
      <c r="J20" s="31"/>
    </row>
    <row r="21" spans="1:10" ht="18" customHeight="1" x14ac:dyDescent="0.25">
      <c r="A21" s="14" t="s">
        <v>225</v>
      </c>
      <c r="B21" s="32" t="s">
        <v>86</v>
      </c>
      <c r="C21" s="33" t="s">
        <v>101</v>
      </c>
      <c r="D21" s="29">
        <v>30000</v>
      </c>
      <c r="E21" s="11"/>
      <c r="F21" s="11"/>
      <c r="G21" s="11"/>
      <c r="H21" s="30" t="str">
        <f>IF(E21="","—",IF(D21="","—",IF(ISNUMBER(D21),IF(E21&gt;=D21*1.1,"OUTPERFORM",IF(E21&gt;=D21*0.95,"ON TRACK",IF(E21&gt;=D21*0.85,"WATCH","ACTION"))),"—")))</f>
        <v>—</v>
      </c>
      <c r="I21" s="34" t="s">
        <v>208</v>
      </c>
      <c r="J21" s="34"/>
    </row>
    <row r="22" spans="1:10" ht="18" customHeight="1" x14ac:dyDescent="0.25">
      <c r="A22" s="10" t="s">
        <v>226</v>
      </c>
      <c r="B22" s="27" t="s">
        <v>107</v>
      </c>
      <c r="C22" s="28" t="s">
        <v>101</v>
      </c>
      <c r="D22" s="29"/>
      <c r="E22" s="11"/>
      <c r="F22" s="11"/>
      <c r="G22" s="11"/>
      <c r="H22" s="30" t="str">
        <f>IF(E22="","—",IF(D22="","—",IF(ISNUMBER(D22),IF(E22&gt;=D22*1.1,"OUTPERFORM",IF(E22&gt;=D22*0.95,"ON TRACK",IF(E22&gt;=D22*0.85,"WATCH","ACTION"))),"—")))</f>
        <v>—</v>
      </c>
      <c r="I22" s="31" t="s">
        <v>208</v>
      </c>
      <c r="J22" s="31"/>
    </row>
    <row r="23" spans="1:10" ht="18" customHeight="1" x14ac:dyDescent="0.25">
      <c r="A23" s="14" t="s">
        <v>227</v>
      </c>
      <c r="B23" s="32" t="s">
        <v>110</v>
      </c>
      <c r="C23" s="33" t="s">
        <v>101</v>
      </c>
      <c r="D23" s="29"/>
      <c r="E23" s="11"/>
      <c r="F23" s="11"/>
      <c r="G23" s="11"/>
      <c r="H23" s="30" t="str">
        <f>IF(E23="","—",IF(D23="","—",IF(ISNUMBER(D23),IF(E23&gt;=D23*1.1,"OUTPERFORM",IF(E23&gt;=D23*0.95,"ON TRACK",IF(E23&gt;=D23*0.85,"WATCH","ACTION"))),"—")))</f>
        <v>—</v>
      </c>
      <c r="I23" s="34" t="s">
        <v>208</v>
      </c>
      <c r="J23" s="34"/>
    </row>
    <row r="25" spans="1:10" ht="18" customHeight="1" x14ac:dyDescent="0.25">
      <c r="A25" s="3" t="s">
        <v>228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ht="30" customHeight="1" x14ac:dyDescent="0.25">
      <c r="A26" s="9" t="s">
        <v>76</v>
      </c>
      <c r="B26" s="9" t="s">
        <v>77</v>
      </c>
      <c r="C26" s="9" t="s">
        <v>41</v>
      </c>
      <c r="D26" s="9" t="s">
        <v>78</v>
      </c>
      <c r="E26" s="9" t="s">
        <v>79</v>
      </c>
      <c r="F26" s="9" t="s">
        <v>80</v>
      </c>
      <c r="G26" s="9" t="s">
        <v>81</v>
      </c>
      <c r="H26" s="9" t="s">
        <v>82</v>
      </c>
      <c r="I26" s="9" t="s">
        <v>83</v>
      </c>
      <c r="J26" s="9" t="s">
        <v>84</v>
      </c>
    </row>
    <row r="27" spans="1:10" ht="18" customHeight="1" x14ac:dyDescent="0.25">
      <c r="A27" s="10" t="s">
        <v>229</v>
      </c>
      <c r="B27" s="27" t="s">
        <v>86</v>
      </c>
      <c r="C27" s="28" t="s">
        <v>230</v>
      </c>
      <c r="D27" s="29"/>
      <c r="E27" s="11"/>
      <c r="F27" s="11"/>
      <c r="G27" s="11"/>
      <c r="H27" s="30" t="str">
        <f t="shared" ref="H27:H37" si="1">IF(E27="","—",IF(D27="","—",IF(ISNUMBER(D27),IF(E27&gt;=D27*1.1,"OUTPERFORM",IF(E27&gt;=D27*0.95,"ON TRACK",IF(E27&gt;=D27*0.85,"WATCH","ACTION"))),"—")))</f>
        <v>—</v>
      </c>
      <c r="I27" s="31" t="s">
        <v>208</v>
      </c>
      <c r="J27" s="31"/>
    </row>
    <row r="28" spans="1:10" ht="18" customHeight="1" x14ac:dyDescent="0.25">
      <c r="A28" s="14" t="s">
        <v>231</v>
      </c>
      <c r="B28" s="32" t="s">
        <v>86</v>
      </c>
      <c r="C28" s="33" t="s">
        <v>101</v>
      </c>
      <c r="D28" s="29"/>
      <c r="E28" s="11"/>
      <c r="F28" s="11"/>
      <c r="G28" s="11"/>
      <c r="H28" s="30" t="str">
        <f t="shared" si="1"/>
        <v>—</v>
      </c>
      <c r="I28" s="34" t="s">
        <v>208</v>
      </c>
      <c r="J28" s="34"/>
    </row>
    <row r="29" spans="1:10" ht="18" customHeight="1" x14ac:dyDescent="0.25">
      <c r="A29" s="10" t="s">
        <v>232</v>
      </c>
      <c r="B29" s="27" t="s">
        <v>86</v>
      </c>
      <c r="C29" s="28" t="s">
        <v>230</v>
      </c>
      <c r="D29" s="29"/>
      <c r="E29" s="11"/>
      <c r="F29" s="11"/>
      <c r="G29" s="11"/>
      <c r="H29" s="30" t="str">
        <f t="shared" si="1"/>
        <v>—</v>
      </c>
      <c r="I29" s="31" t="s">
        <v>208</v>
      </c>
      <c r="J29" s="31"/>
    </row>
    <row r="30" spans="1:10" ht="18" customHeight="1" x14ac:dyDescent="0.25">
      <c r="A30" s="14" t="s">
        <v>233</v>
      </c>
      <c r="B30" s="32" t="s">
        <v>86</v>
      </c>
      <c r="C30" s="33" t="s">
        <v>101</v>
      </c>
      <c r="D30" s="29"/>
      <c r="E30" s="11"/>
      <c r="F30" s="11"/>
      <c r="G30" s="11"/>
      <c r="H30" s="30" t="str">
        <f t="shared" si="1"/>
        <v>—</v>
      </c>
      <c r="I30" s="34" t="s">
        <v>208</v>
      </c>
      <c r="J30" s="34"/>
    </row>
    <row r="31" spans="1:10" ht="18" customHeight="1" x14ac:dyDescent="0.25">
      <c r="A31" s="10" t="s">
        <v>234</v>
      </c>
      <c r="B31" s="27" t="s">
        <v>86</v>
      </c>
      <c r="C31" s="28" t="s">
        <v>230</v>
      </c>
      <c r="D31" s="29"/>
      <c r="E31" s="11"/>
      <c r="F31" s="11"/>
      <c r="G31" s="11"/>
      <c r="H31" s="30" t="str">
        <f t="shared" si="1"/>
        <v>—</v>
      </c>
      <c r="I31" s="31" t="s">
        <v>208</v>
      </c>
      <c r="J31" s="31"/>
    </row>
    <row r="32" spans="1:10" ht="18" customHeight="1" x14ac:dyDescent="0.25">
      <c r="A32" s="14" t="s">
        <v>235</v>
      </c>
      <c r="B32" s="32" t="s">
        <v>86</v>
      </c>
      <c r="C32" s="33" t="s">
        <v>101</v>
      </c>
      <c r="D32" s="29"/>
      <c r="E32" s="11"/>
      <c r="F32" s="11"/>
      <c r="G32" s="11"/>
      <c r="H32" s="30" t="str">
        <f t="shared" si="1"/>
        <v>—</v>
      </c>
      <c r="I32" s="34" t="s">
        <v>208</v>
      </c>
      <c r="J32" s="34"/>
    </row>
    <row r="33" spans="1:10" ht="18" customHeight="1" x14ac:dyDescent="0.25">
      <c r="A33" s="10" t="s">
        <v>236</v>
      </c>
      <c r="B33" s="27" t="s">
        <v>107</v>
      </c>
      <c r="C33" s="28" t="s">
        <v>230</v>
      </c>
      <c r="D33" s="29"/>
      <c r="E33" s="11"/>
      <c r="F33" s="11"/>
      <c r="G33" s="11"/>
      <c r="H33" s="30" t="str">
        <f t="shared" si="1"/>
        <v>—</v>
      </c>
      <c r="I33" s="31" t="s">
        <v>208</v>
      </c>
      <c r="J33" s="31"/>
    </row>
    <row r="34" spans="1:10" ht="18" customHeight="1" x14ac:dyDescent="0.25">
      <c r="A34" s="14" t="s">
        <v>237</v>
      </c>
      <c r="B34" s="32" t="s">
        <v>107</v>
      </c>
      <c r="C34" s="33" t="s">
        <v>230</v>
      </c>
      <c r="D34" s="29"/>
      <c r="E34" s="11"/>
      <c r="F34" s="11"/>
      <c r="G34" s="11"/>
      <c r="H34" s="30" t="str">
        <f t="shared" si="1"/>
        <v>—</v>
      </c>
      <c r="I34" s="34" t="s">
        <v>208</v>
      </c>
      <c r="J34" s="34"/>
    </row>
    <row r="35" spans="1:10" ht="18" customHeight="1" x14ac:dyDescent="0.25">
      <c r="A35" s="10" t="s">
        <v>238</v>
      </c>
      <c r="B35" s="27" t="s">
        <v>107</v>
      </c>
      <c r="C35" s="28" t="s">
        <v>230</v>
      </c>
      <c r="D35" s="29"/>
      <c r="E35" s="11"/>
      <c r="F35" s="11"/>
      <c r="G35" s="11"/>
      <c r="H35" s="30" t="str">
        <f t="shared" si="1"/>
        <v>—</v>
      </c>
      <c r="I35" s="31" t="s">
        <v>208</v>
      </c>
      <c r="J35" s="31"/>
    </row>
    <row r="36" spans="1:10" ht="18" customHeight="1" x14ac:dyDescent="0.25">
      <c r="A36" s="14" t="s">
        <v>239</v>
      </c>
      <c r="B36" s="32" t="s">
        <v>107</v>
      </c>
      <c r="C36" s="33" t="s">
        <v>101</v>
      </c>
      <c r="D36" s="29"/>
      <c r="E36" s="11"/>
      <c r="F36" s="11"/>
      <c r="G36" s="11"/>
      <c r="H36" s="30" t="str">
        <f t="shared" si="1"/>
        <v>—</v>
      </c>
      <c r="I36" s="34" t="s">
        <v>208</v>
      </c>
      <c r="J36" s="34"/>
    </row>
    <row r="37" spans="1:10" ht="18" customHeight="1" x14ac:dyDescent="0.25">
      <c r="A37" s="10" t="s">
        <v>240</v>
      </c>
      <c r="B37" s="27" t="s">
        <v>110</v>
      </c>
      <c r="C37" s="28" t="s">
        <v>101</v>
      </c>
      <c r="D37" s="29"/>
      <c r="E37" s="11"/>
      <c r="F37" s="11"/>
      <c r="G37" s="11"/>
      <c r="H37" s="30" t="str">
        <f t="shared" si="1"/>
        <v>—</v>
      </c>
      <c r="I37" s="31" t="s">
        <v>208</v>
      </c>
      <c r="J37" s="31"/>
    </row>
  </sheetData>
  <mergeCells count="4">
    <mergeCell ref="A1:J1"/>
    <mergeCell ref="A4:J4"/>
    <mergeCell ref="A18:J18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1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J1"/>
    </sheetView>
  </sheetViews>
  <sheetFormatPr defaultColWidth="8.7109375" defaultRowHeight="15" x14ac:dyDescent="0.25"/>
  <cols>
    <col min="1" max="1" width="32" customWidth="1"/>
    <col min="2" max="2" width="12" customWidth="1"/>
    <col min="3" max="3" width="14" customWidth="1"/>
    <col min="4" max="4" width="16" customWidth="1"/>
    <col min="5" max="7" width="14" customWidth="1"/>
    <col min="8" max="8" width="18" customWidth="1"/>
    <col min="9" max="9" width="22" customWidth="1"/>
    <col min="10" max="10" width="30" customWidth="1"/>
  </cols>
  <sheetData>
    <row r="1" spans="1:10" ht="31.5" customHeight="1" x14ac:dyDescent="0.25">
      <c r="A1" s="1" t="s">
        <v>241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 x14ac:dyDescent="0.25">
      <c r="A2" s="26" t="s">
        <v>242</v>
      </c>
    </row>
    <row r="4" spans="1:10" ht="18" customHeight="1" x14ac:dyDescent="0.25">
      <c r="A4" s="3" t="s">
        <v>243</v>
      </c>
      <c r="B4" s="3"/>
      <c r="C4" s="3"/>
      <c r="D4" s="3"/>
      <c r="E4" s="3"/>
      <c r="F4" s="3"/>
      <c r="G4" s="3"/>
      <c r="H4" s="3"/>
      <c r="I4" s="3"/>
      <c r="J4" s="3"/>
    </row>
    <row r="5" spans="1:10" ht="30" customHeight="1" x14ac:dyDescent="0.25">
      <c r="A5" s="9" t="s">
        <v>76</v>
      </c>
      <c r="B5" s="9" t="s">
        <v>77</v>
      </c>
      <c r="C5" s="9" t="s">
        <v>41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  <c r="J5" s="9" t="s">
        <v>84</v>
      </c>
    </row>
    <row r="6" spans="1:10" ht="18" customHeight="1" x14ac:dyDescent="0.25">
      <c r="A6" s="10" t="s">
        <v>244</v>
      </c>
      <c r="B6" s="27" t="s">
        <v>86</v>
      </c>
      <c r="C6" s="28" t="s">
        <v>101</v>
      </c>
      <c r="D6" s="29">
        <v>15000</v>
      </c>
      <c r="E6" s="11"/>
      <c r="F6" s="11"/>
      <c r="G6" s="11"/>
      <c r="H6" s="30" t="str">
        <f t="shared" ref="H6:H11" si="0">IF(E6="","—",IF(D6="","—",IF(ISNUMBER(D6),IF(E6&gt;=D6*1.1,"OUTPERFORM",IF(E6&gt;=D6*0.95,"ON TRACK",IF(E6&gt;=D6*0.85,"WATCH","ACTION"))),"—")))</f>
        <v>—</v>
      </c>
      <c r="I6" s="31" t="s">
        <v>245</v>
      </c>
      <c r="J6" s="31"/>
    </row>
    <row r="7" spans="1:10" ht="18" customHeight="1" x14ac:dyDescent="0.25">
      <c r="A7" s="14" t="s">
        <v>246</v>
      </c>
      <c r="B7" s="32" t="s">
        <v>86</v>
      </c>
      <c r="C7" s="33" t="s">
        <v>129</v>
      </c>
      <c r="D7" s="29">
        <v>80</v>
      </c>
      <c r="E7" s="11"/>
      <c r="F7" s="11"/>
      <c r="G7" s="11"/>
      <c r="H7" s="30" t="str">
        <f t="shared" si="0"/>
        <v>—</v>
      </c>
      <c r="I7" s="34" t="s">
        <v>245</v>
      </c>
      <c r="J7" s="34"/>
    </row>
    <row r="8" spans="1:10" ht="18" customHeight="1" x14ac:dyDescent="0.25">
      <c r="A8" s="10" t="s">
        <v>247</v>
      </c>
      <c r="B8" s="27" t="s">
        <v>86</v>
      </c>
      <c r="C8" s="28" t="s">
        <v>101</v>
      </c>
      <c r="D8" s="29">
        <v>180</v>
      </c>
      <c r="E8" s="11"/>
      <c r="F8" s="11"/>
      <c r="G8" s="11"/>
      <c r="H8" s="30" t="str">
        <f t="shared" si="0"/>
        <v>—</v>
      </c>
      <c r="I8" s="31" t="s">
        <v>245</v>
      </c>
      <c r="J8" s="31" t="s">
        <v>248</v>
      </c>
    </row>
    <row r="9" spans="1:10" ht="18" customHeight="1" x14ac:dyDescent="0.25">
      <c r="A9" s="14" t="s">
        <v>249</v>
      </c>
      <c r="B9" s="32" t="s">
        <v>86</v>
      </c>
      <c r="C9" s="33" t="s">
        <v>129</v>
      </c>
      <c r="D9" s="29"/>
      <c r="E9" s="11"/>
      <c r="F9" s="11"/>
      <c r="G9" s="11"/>
      <c r="H9" s="30" t="str">
        <f t="shared" si="0"/>
        <v>—</v>
      </c>
      <c r="I9" s="34" t="s">
        <v>245</v>
      </c>
      <c r="J9" s="34" t="s">
        <v>250</v>
      </c>
    </row>
    <row r="10" spans="1:10" ht="18" customHeight="1" x14ac:dyDescent="0.25">
      <c r="A10" s="10" t="s">
        <v>251</v>
      </c>
      <c r="B10" s="27" t="s">
        <v>107</v>
      </c>
      <c r="C10" s="28" t="s">
        <v>101</v>
      </c>
      <c r="D10" s="29"/>
      <c r="E10" s="11"/>
      <c r="F10" s="11"/>
      <c r="G10" s="11"/>
      <c r="H10" s="30" t="str">
        <f t="shared" si="0"/>
        <v>—</v>
      </c>
      <c r="I10" s="31" t="s">
        <v>245</v>
      </c>
      <c r="J10" s="31"/>
    </row>
    <row r="11" spans="1:10" ht="18" customHeight="1" x14ac:dyDescent="0.25">
      <c r="A11" s="14" t="s">
        <v>252</v>
      </c>
      <c r="B11" s="32" t="s">
        <v>110</v>
      </c>
      <c r="C11" s="33" t="s">
        <v>101</v>
      </c>
      <c r="D11" s="29"/>
      <c r="E11" s="11"/>
      <c r="F11" s="11"/>
      <c r="G11" s="11"/>
      <c r="H11" s="30" t="str">
        <f t="shared" si="0"/>
        <v>—</v>
      </c>
      <c r="I11" s="34" t="s">
        <v>245</v>
      </c>
      <c r="J11" s="34"/>
    </row>
    <row r="13" spans="1:10" ht="18" customHeight="1" x14ac:dyDescent="0.25">
      <c r="A13" s="3" t="s">
        <v>253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ht="30" customHeight="1" x14ac:dyDescent="0.25">
      <c r="A14" s="9" t="s">
        <v>76</v>
      </c>
      <c r="B14" s="9" t="s">
        <v>77</v>
      </c>
      <c r="C14" s="9" t="s">
        <v>41</v>
      </c>
      <c r="D14" s="9" t="s">
        <v>78</v>
      </c>
      <c r="E14" s="9" t="s">
        <v>79</v>
      </c>
      <c r="F14" s="9" t="s">
        <v>80</v>
      </c>
      <c r="G14" s="9" t="s">
        <v>81</v>
      </c>
      <c r="H14" s="9" t="s">
        <v>82</v>
      </c>
      <c r="I14" s="9" t="s">
        <v>83</v>
      </c>
      <c r="J14" s="9" t="s">
        <v>84</v>
      </c>
    </row>
    <row r="15" spans="1:10" ht="18" customHeight="1" x14ac:dyDescent="0.25">
      <c r="A15" s="10" t="s">
        <v>254</v>
      </c>
      <c r="B15" s="27" t="s">
        <v>86</v>
      </c>
      <c r="C15" s="28" t="s">
        <v>101</v>
      </c>
      <c r="D15" s="29"/>
      <c r="E15" s="11"/>
      <c r="F15" s="11"/>
      <c r="G15" s="11"/>
      <c r="H15" s="30" t="str">
        <f t="shared" ref="H15:H22" si="1">IF(E15="","—",IF(D15="","—",IF(ISNUMBER(D15),IF(E15&gt;=D15*1.1,"OUTPERFORM",IF(E15&gt;=D15*0.95,"ON TRACK",IF(E15&gt;=D15*0.85,"WATCH","ACTION"))),"—")))</f>
        <v>—</v>
      </c>
      <c r="I15" s="31" t="s">
        <v>245</v>
      </c>
      <c r="J15" s="31"/>
    </row>
    <row r="16" spans="1:10" ht="18" customHeight="1" x14ac:dyDescent="0.25">
      <c r="A16" s="14" t="s">
        <v>255</v>
      </c>
      <c r="B16" s="32" t="s">
        <v>86</v>
      </c>
      <c r="C16" s="33" t="s">
        <v>129</v>
      </c>
      <c r="D16" s="29"/>
      <c r="E16" s="11"/>
      <c r="F16" s="11"/>
      <c r="G16" s="11"/>
      <c r="H16" s="30" t="str">
        <f t="shared" si="1"/>
        <v>—</v>
      </c>
      <c r="I16" s="34" t="s">
        <v>245</v>
      </c>
      <c r="J16" s="34"/>
    </row>
    <row r="17" spans="1:10" ht="18" customHeight="1" x14ac:dyDescent="0.25">
      <c r="A17" s="10" t="s">
        <v>256</v>
      </c>
      <c r="B17" s="27" t="s">
        <v>86</v>
      </c>
      <c r="C17" s="28" t="s">
        <v>101</v>
      </c>
      <c r="D17" s="29"/>
      <c r="E17" s="11"/>
      <c r="F17" s="11"/>
      <c r="G17" s="11"/>
      <c r="H17" s="30" t="str">
        <f t="shared" si="1"/>
        <v>—</v>
      </c>
      <c r="I17" s="31" t="s">
        <v>245</v>
      </c>
      <c r="J17" s="31"/>
    </row>
    <row r="18" spans="1:10" ht="18" customHeight="1" x14ac:dyDescent="0.25">
      <c r="A18" s="14" t="s">
        <v>257</v>
      </c>
      <c r="B18" s="32" t="s">
        <v>86</v>
      </c>
      <c r="C18" s="33" t="s">
        <v>129</v>
      </c>
      <c r="D18" s="29"/>
      <c r="E18" s="11"/>
      <c r="F18" s="11"/>
      <c r="G18" s="11"/>
      <c r="H18" s="30" t="str">
        <f t="shared" si="1"/>
        <v>—</v>
      </c>
      <c r="I18" s="34" t="s">
        <v>245</v>
      </c>
      <c r="J18" s="34"/>
    </row>
    <row r="19" spans="1:10" ht="18" customHeight="1" x14ac:dyDescent="0.25">
      <c r="A19" s="10" t="s">
        <v>258</v>
      </c>
      <c r="B19" s="27" t="s">
        <v>86</v>
      </c>
      <c r="C19" s="28" t="s">
        <v>101</v>
      </c>
      <c r="D19" s="29"/>
      <c r="E19" s="11"/>
      <c r="F19" s="11"/>
      <c r="G19" s="11"/>
      <c r="H19" s="30" t="str">
        <f t="shared" si="1"/>
        <v>—</v>
      </c>
      <c r="I19" s="31" t="s">
        <v>245</v>
      </c>
      <c r="J19" s="31"/>
    </row>
    <row r="20" spans="1:10" ht="18" customHeight="1" x14ac:dyDescent="0.25">
      <c r="A20" s="14" t="s">
        <v>259</v>
      </c>
      <c r="B20" s="32" t="s">
        <v>86</v>
      </c>
      <c r="C20" s="33" t="s">
        <v>129</v>
      </c>
      <c r="D20" s="29"/>
      <c r="E20" s="11"/>
      <c r="F20" s="11"/>
      <c r="G20" s="11"/>
      <c r="H20" s="30" t="str">
        <f t="shared" si="1"/>
        <v>—</v>
      </c>
      <c r="I20" s="34" t="s">
        <v>245</v>
      </c>
      <c r="J20" s="34"/>
    </row>
    <row r="21" spans="1:10" ht="18" customHeight="1" x14ac:dyDescent="0.25">
      <c r="A21" s="10" t="s">
        <v>260</v>
      </c>
      <c r="B21" s="27" t="s">
        <v>107</v>
      </c>
      <c r="C21" s="28" t="s">
        <v>101</v>
      </c>
      <c r="D21" s="29"/>
      <c r="E21" s="11"/>
      <c r="F21" s="11"/>
      <c r="G21" s="11"/>
      <c r="H21" s="30" t="str">
        <f t="shared" si="1"/>
        <v>—</v>
      </c>
      <c r="I21" s="31" t="s">
        <v>245</v>
      </c>
      <c r="J21" s="31"/>
    </row>
    <row r="22" spans="1:10" ht="18" customHeight="1" x14ac:dyDescent="0.25">
      <c r="A22" s="14" t="s">
        <v>261</v>
      </c>
      <c r="B22" s="32" t="s">
        <v>107</v>
      </c>
      <c r="C22" s="33" t="s">
        <v>101</v>
      </c>
      <c r="D22" s="29"/>
      <c r="E22" s="11"/>
      <c r="F22" s="11"/>
      <c r="G22" s="11"/>
      <c r="H22" s="30" t="str">
        <f t="shared" si="1"/>
        <v>—</v>
      </c>
      <c r="I22" s="34" t="s">
        <v>245</v>
      </c>
      <c r="J22" s="34"/>
    </row>
    <row r="24" spans="1:10" ht="18" customHeight="1" x14ac:dyDescent="0.25">
      <c r="A24" s="3" t="s">
        <v>262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ht="30" customHeight="1" x14ac:dyDescent="0.25">
      <c r="A25" s="9" t="s">
        <v>76</v>
      </c>
      <c r="B25" s="9" t="s">
        <v>77</v>
      </c>
      <c r="C25" s="9" t="s">
        <v>41</v>
      </c>
      <c r="D25" s="9" t="s">
        <v>78</v>
      </c>
      <c r="E25" s="9" t="s">
        <v>79</v>
      </c>
      <c r="F25" s="9" t="s">
        <v>80</v>
      </c>
      <c r="G25" s="9" t="s">
        <v>81</v>
      </c>
      <c r="H25" s="9" t="s">
        <v>82</v>
      </c>
      <c r="I25" s="9" t="s">
        <v>83</v>
      </c>
      <c r="J25" s="9" t="s">
        <v>84</v>
      </c>
    </row>
    <row r="26" spans="1:10" ht="18" customHeight="1" x14ac:dyDescent="0.25">
      <c r="A26" s="10" t="s">
        <v>263</v>
      </c>
      <c r="B26" s="27" t="s">
        <v>86</v>
      </c>
      <c r="C26" s="28" t="s">
        <v>129</v>
      </c>
      <c r="D26" s="29"/>
      <c r="E26" s="11"/>
      <c r="F26" s="11"/>
      <c r="G26" s="11"/>
      <c r="H26" s="30" t="str">
        <f t="shared" ref="H26:H35" si="2">IF(E26="","—",IF(D26="","—",IF(ISNUMBER(D26),IF(E26&gt;=D26*1.1,"OUTPERFORM",IF(E26&gt;=D26*0.95,"ON TRACK",IF(E26&gt;=D26*0.85,"WATCH","ACTION"))),"—")))</f>
        <v>—</v>
      </c>
      <c r="I26" s="31" t="s">
        <v>245</v>
      </c>
      <c r="J26" s="31"/>
    </row>
    <row r="27" spans="1:10" ht="18" customHeight="1" x14ac:dyDescent="0.25">
      <c r="A27" s="14" t="s">
        <v>264</v>
      </c>
      <c r="B27" s="32" t="s">
        <v>86</v>
      </c>
      <c r="C27" s="33" t="s">
        <v>101</v>
      </c>
      <c r="D27" s="29"/>
      <c r="E27" s="11"/>
      <c r="F27" s="11"/>
      <c r="G27" s="11"/>
      <c r="H27" s="30" t="str">
        <f t="shared" si="2"/>
        <v>—</v>
      </c>
      <c r="I27" s="34" t="s">
        <v>245</v>
      </c>
      <c r="J27" s="34"/>
    </row>
    <row r="28" spans="1:10" ht="18" customHeight="1" x14ac:dyDescent="0.25">
      <c r="A28" s="10" t="s">
        <v>265</v>
      </c>
      <c r="B28" s="27" t="s">
        <v>86</v>
      </c>
      <c r="C28" s="28" t="s">
        <v>129</v>
      </c>
      <c r="D28" s="29"/>
      <c r="E28" s="11"/>
      <c r="F28" s="11"/>
      <c r="G28" s="11"/>
      <c r="H28" s="30" t="str">
        <f t="shared" si="2"/>
        <v>—</v>
      </c>
      <c r="I28" s="31" t="s">
        <v>245</v>
      </c>
      <c r="J28" s="31"/>
    </row>
    <row r="29" spans="1:10" ht="18" customHeight="1" x14ac:dyDescent="0.25">
      <c r="A29" s="14" t="s">
        <v>266</v>
      </c>
      <c r="B29" s="32" t="s">
        <v>86</v>
      </c>
      <c r="C29" s="33" t="s">
        <v>101</v>
      </c>
      <c r="D29" s="29"/>
      <c r="E29" s="11"/>
      <c r="F29" s="11"/>
      <c r="G29" s="11"/>
      <c r="H29" s="30" t="str">
        <f t="shared" si="2"/>
        <v>—</v>
      </c>
      <c r="I29" s="34" t="s">
        <v>245</v>
      </c>
      <c r="J29" s="34"/>
    </row>
    <row r="30" spans="1:10" ht="18" customHeight="1" x14ac:dyDescent="0.25">
      <c r="A30" s="10" t="s">
        <v>267</v>
      </c>
      <c r="B30" s="27" t="s">
        <v>86</v>
      </c>
      <c r="C30" s="28" t="s">
        <v>129</v>
      </c>
      <c r="D30" s="29"/>
      <c r="E30" s="11"/>
      <c r="F30" s="11"/>
      <c r="G30" s="11"/>
      <c r="H30" s="30" t="str">
        <f t="shared" si="2"/>
        <v>—</v>
      </c>
      <c r="I30" s="31" t="s">
        <v>245</v>
      </c>
      <c r="J30" s="31"/>
    </row>
    <row r="31" spans="1:10" ht="18" customHeight="1" x14ac:dyDescent="0.25">
      <c r="A31" s="14" t="s">
        <v>268</v>
      </c>
      <c r="B31" s="32" t="s">
        <v>86</v>
      </c>
      <c r="C31" s="33" t="s">
        <v>101</v>
      </c>
      <c r="D31" s="29"/>
      <c r="E31" s="11"/>
      <c r="F31" s="11"/>
      <c r="G31" s="11"/>
      <c r="H31" s="30" t="str">
        <f t="shared" si="2"/>
        <v>—</v>
      </c>
      <c r="I31" s="34" t="s">
        <v>245</v>
      </c>
      <c r="J31" s="34"/>
    </row>
    <row r="32" spans="1:10" ht="18" customHeight="1" x14ac:dyDescent="0.25">
      <c r="A32" s="10" t="s">
        <v>269</v>
      </c>
      <c r="B32" s="27" t="s">
        <v>86</v>
      </c>
      <c r="C32" s="28" t="s">
        <v>129</v>
      </c>
      <c r="D32" s="29"/>
      <c r="E32" s="11"/>
      <c r="F32" s="11"/>
      <c r="G32" s="11"/>
      <c r="H32" s="30" t="str">
        <f t="shared" si="2"/>
        <v>—</v>
      </c>
      <c r="I32" s="31" t="s">
        <v>245</v>
      </c>
      <c r="J32" s="31"/>
    </row>
    <row r="33" spans="1:10" ht="18" customHeight="1" x14ac:dyDescent="0.25">
      <c r="A33" s="14" t="s">
        <v>270</v>
      </c>
      <c r="B33" s="32" t="s">
        <v>86</v>
      </c>
      <c r="C33" s="33" t="s">
        <v>101</v>
      </c>
      <c r="D33" s="29"/>
      <c r="E33" s="11"/>
      <c r="F33" s="11"/>
      <c r="G33" s="11"/>
      <c r="H33" s="30" t="str">
        <f t="shared" si="2"/>
        <v>—</v>
      </c>
      <c r="I33" s="34" t="s">
        <v>245</v>
      </c>
      <c r="J33" s="34"/>
    </row>
    <row r="34" spans="1:10" ht="18" customHeight="1" x14ac:dyDescent="0.25">
      <c r="A34" s="10" t="s">
        <v>271</v>
      </c>
      <c r="B34" s="27" t="s">
        <v>107</v>
      </c>
      <c r="C34" s="28" t="s">
        <v>101</v>
      </c>
      <c r="D34" s="29"/>
      <c r="E34" s="11"/>
      <c r="F34" s="11"/>
      <c r="G34" s="11"/>
      <c r="H34" s="30" t="str">
        <f t="shared" si="2"/>
        <v>—</v>
      </c>
      <c r="I34" s="31" t="s">
        <v>245</v>
      </c>
      <c r="J34" s="31"/>
    </row>
    <row r="35" spans="1:10" ht="18" customHeight="1" x14ac:dyDescent="0.25">
      <c r="A35" s="14" t="s">
        <v>272</v>
      </c>
      <c r="B35" s="32" t="s">
        <v>107</v>
      </c>
      <c r="C35" s="33" t="s">
        <v>101</v>
      </c>
      <c r="D35" s="29"/>
      <c r="E35" s="11"/>
      <c r="F35" s="11"/>
      <c r="G35" s="11"/>
      <c r="H35" s="30" t="str">
        <f t="shared" si="2"/>
        <v>—</v>
      </c>
      <c r="I35" s="34" t="s">
        <v>245</v>
      </c>
      <c r="J35" s="34"/>
    </row>
    <row r="37" spans="1:10" ht="18" customHeight="1" x14ac:dyDescent="0.25">
      <c r="A37" s="3" t="s">
        <v>273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ht="30" customHeight="1" x14ac:dyDescent="0.25">
      <c r="A38" s="9" t="s">
        <v>76</v>
      </c>
      <c r="B38" s="9" t="s">
        <v>77</v>
      </c>
      <c r="C38" s="9" t="s">
        <v>41</v>
      </c>
      <c r="D38" s="9" t="s">
        <v>78</v>
      </c>
      <c r="E38" s="9" t="s">
        <v>79</v>
      </c>
      <c r="F38" s="9" t="s">
        <v>80</v>
      </c>
      <c r="G38" s="9" t="s">
        <v>81</v>
      </c>
      <c r="H38" s="9" t="s">
        <v>82</v>
      </c>
      <c r="I38" s="9" t="s">
        <v>83</v>
      </c>
      <c r="J38" s="9" t="s">
        <v>84</v>
      </c>
    </row>
    <row r="39" spans="1:10" ht="18" customHeight="1" x14ac:dyDescent="0.25">
      <c r="A39" s="10" t="s">
        <v>274</v>
      </c>
      <c r="B39" s="27" t="s">
        <v>86</v>
      </c>
      <c r="C39" s="28" t="s">
        <v>101</v>
      </c>
      <c r="D39" s="29"/>
      <c r="E39" s="11"/>
      <c r="F39" s="11"/>
      <c r="G39" s="11"/>
      <c r="H39" s="30" t="str">
        <f>IF(E39="","—",IF(D39="","—",IF(ISNUMBER(D39),IF(E39&gt;=D39*1.1,"OUTPERFORM",IF(E39&gt;=D39*0.95,"ON TRACK",IF(E39&gt;=D39*0.85,"WATCH","ACTION"))),"—")))</f>
        <v>—</v>
      </c>
      <c r="I39" s="31" t="s">
        <v>140</v>
      </c>
      <c r="J39" s="31" t="s">
        <v>275</v>
      </c>
    </row>
    <row r="40" spans="1:10" ht="18" customHeight="1" x14ac:dyDescent="0.25">
      <c r="A40" s="14" t="s">
        <v>276</v>
      </c>
      <c r="B40" s="32" t="s">
        <v>107</v>
      </c>
      <c r="C40" s="33" t="s">
        <v>101</v>
      </c>
      <c r="D40" s="29"/>
      <c r="E40" s="11"/>
      <c r="F40" s="11"/>
      <c r="G40" s="11"/>
      <c r="H40" s="30" t="str">
        <f>IF(E40="","—",IF(D40="","—",IF(ISNUMBER(D40),IF(E40&gt;=D40*1.1,"OUTPERFORM",IF(E40&gt;=D40*0.95,"ON TRACK",IF(E40&gt;=D40*0.85,"WATCH","ACTION"))),"—")))</f>
        <v>—</v>
      </c>
      <c r="I40" s="34" t="s">
        <v>140</v>
      </c>
      <c r="J40" s="34"/>
    </row>
    <row r="41" spans="1:10" ht="18" customHeight="1" x14ac:dyDescent="0.25">
      <c r="A41" s="10" t="s">
        <v>277</v>
      </c>
      <c r="B41" s="27" t="s">
        <v>110</v>
      </c>
      <c r="C41" s="28" t="s">
        <v>101</v>
      </c>
      <c r="D41" s="29"/>
      <c r="E41" s="11"/>
      <c r="F41" s="11"/>
      <c r="G41" s="11"/>
      <c r="H41" s="30" t="str">
        <f>IF(E41="","—",IF(D41="","—",IF(ISNUMBER(D41),IF(E41&gt;=D41*1.1,"OUTPERFORM",IF(E41&gt;=D41*0.95,"ON TRACK",IF(E41&gt;=D41*0.85,"WATCH","ACTION"))),"—")))</f>
        <v>—</v>
      </c>
      <c r="I41" s="31" t="s">
        <v>140</v>
      </c>
      <c r="J41" s="31"/>
    </row>
  </sheetData>
  <mergeCells count="5">
    <mergeCell ref="A1:J1"/>
    <mergeCell ref="A4:J4"/>
    <mergeCell ref="A13:J13"/>
    <mergeCell ref="A24:J24"/>
    <mergeCell ref="A37:J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J1"/>
    </sheetView>
  </sheetViews>
  <sheetFormatPr defaultColWidth="8.7109375" defaultRowHeight="15" x14ac:dyDescent="0.25"/>
  <cols>
    <col min="1" max="1" width="32" customWidth="1"/>
    <col min="2" max="2" width="12" customWidth="1"/>
    <col min="3" max="3" width="14" customWidth="1"/>
    <col min="4" max="4" width="16" customWidth="1"/>
    <col min="5" max="7" width="14" customWidth="1"/>
    <col min="8" max="8" width="18" customWidth="1"/>
    <col min="9" max="9" width="22" customWidth="1"/>
    <col min="10" max="10" width="30" customWidth="1"/>
  </cols>
  <sheetData>
    <row r="1" spans="1:10" ht="31.5" customHeight="1" x14ac:dyDescent="0.25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 x14ac:dyDescent="0.25">
      <c r="A2" s="26" t="s">
        <v>279</v>
      </c>
    </row>
    <row r="4" spans="1:10" ht="18" customHeight="1" x14ac:dyDescent="0.25">
      <c r="A4" s="3" t="s">
        <v>280</v>
      </c>
      <c r="B4" s="3"/>
      <c r="C4" s="3"/>
      <c r="D4" s="3"/>
      <c r="E4" s="3"/>
      <c r="F4" s="3"/>
      <c r="G4" s="3"/>
      <c r="H4" s="3"/>
      <c r="I4" s="3"/>
      <c r="J4" s="3"/>
    </row>
    <row r="5" spans="1:10" ht="30" customHeight="1" x14ac:dyDescent="0.25">
      <c r="A5" s="9" t="s">
        <v>76</v>
      </c>
      <c r="B5" s="9" t="s">
        <v>77</v>
      </c>
      <c r="C5" s="9" t="s">
        <v>41</v>
      </c>
      <c r="D5" s="9" t="s">
        <v>78</v>
      </c>
      <c r="E5" s="9" t="s">
        <v>79</v>
      </c>
      <c r="F5" s="9" t="s">
        <v>80</v>
      </c>
      <c r="G5" s="9" t="s">
        <v>81</v>
      </c>
      <c r="H5" s="9" t="s">
        <v>82</v>
      </c>
      <c r="I5" s="9" t="s">
        <v>83</v>
      </c>
      <c r="J5" s="9" t="s">
        <v>84</v>
      </c>
    </row>
    <row r="6" spans="1:10" ht="18" customHeight="1" x14ac:dyDescent="0.25">
      <c r="A6" s="10" t="s">
        <v>244</v>
      </c>
      <c r="B6" s="27" t="s">
        <v>86</v>
      </c>
      <c r="C6" s="28" t="s">
        <v>101</v>
      </c>
      <c r="D6" s="29"/>
      <c r="E6" s="11"/>
      <c r="F6" s="11"/>
      <c r="G6" s="11"/>
      <c r="H6" s="30" t="str">
        <f t="shared" ref="H6:H12" si="0">IF(E6="","—",IF(D6="","—",IF(ISNUMBER(D6),IF(E6&gt;=D6*1.1,"OUTPERFORM",IF(E6&gt;=D6*0.95,"ON TRACK",IF(E6&gt;=D6*0.85,"WATCH","ACTION"))),"—")))</f>
        <v>—</v>
      </c>
      <c r="I6" s="31" t="s">
        <v>281</v>
      </c>
      <c r="J6" s="31"/>
    </row>
    <row r="7" spans="1:10" ht="18" customHeight="1" x14ac:dyDescent="0.25">
      <c r="A7" s="14" t="s">
        <v>282</v>
      </c>
      <c r="B7" s="32" t="s">
        <v>86</v>
      </c>
      <c r="C7" s="33" t="s">
        <v>101</v>
      </c>
      <c r="D7" s="29"/>
      <c r="E7" s="11"/>
      <c r="F7" s="11"/>
      <c r="G7" s="11"/>
      <c r="H7" s="30" t="str">
        <f t="shared" si="0"/>
        <v>—</v>
      </c>
      <c r="I7" s="34" t="s">
        <v>281</v>
      </c>
      <c r="J7" s="34"/>
    </row>
    <row r="8" spans="1:10" ht="18" customHeight="1" x14ac:dyDescent="0.25">
      <c r="A8" s="10" t="s">
        <v>283</v>
      </c>
      <c r="B8" s="27" t="s">
        <v>86</v>
      </c>
      <c r="C8" s="28" t="s">
        <v>139</v>
      </c>
      <c r="D8" s="29">
        <v>38</v>
      </c>
      <c r="E8" s="11"/>
      <c r="F8" s="11"/>
      <c r="G8" s="11"/>
      <c r="H8" s="30" t="str">
        <f t="shared" si="0"/>
        <v>—</v>
      </c>
      <c r="I8" s="31" t="s">
        <v>281</v>
      </c>
      <c r="J8" s="31" t="s">
        <v>284</v>
      </c>
    </row>
    <row r="9" spans="1:10" ht="18" customHeight="1" x14ac:dyDescent="0.25">
      <c r="A9" s="14" t="s">
        <v>251</v>
      </c>
      <c r="B9" s="32" t="s">
        <v>107</v>
      </c>
      <c r="C9" s="33" t="s">
        <v>101</v>
      </c>
      <c r="D9" s="29"/>
      <c r="E9" s="11"/>
      <c r="F9" s="11"/>
      <c r="G9" s="11"/>
      <c r="H9" s="30" t="str">
        <f t="shared" si="0"/>
        <v>—</v>
      </c>
      <c r="I9" s="34" t="s">
        <v>281</v>
      </c>
      <c r="J9" s="34"/>
    </row>
    <row r="10" spans="1:10" ht="18" customHeight="1" x14ac:dyDescent="0.25">
      <c r="A10" s="10" t="s">
        <v>252</v>
      </c>
      <c r="B10" s="27" t="s">
        <v>110</v>
      </c>
      <c r="C10" s="28" t="s">
        <v>101</v>
      </c>
      <c r="D10" s="29"/>
      <c r="E10" s="11"/>
      <c r="F10" s="11"/>
      <c r="G10" s="11"/>
      <c r="H10" s="30" t="str">
        <f t="shared" si="0"/>
        <v>—</v>
      </c>
      <c r="I10" s="31" t="s">
        <v>281</v>
      </c>
      <c r="J10" s="31"/>
    </row>
    <row r="11" spans="1:10" ht="18" customHeight="1" x14ac:dyDescent="0.25">
      <c r="A11" s="14" t="s">
        <v>180</v>
      </c>
      <c r="B11" s="32" t="s">
        <v>107</v>
      </c>
      <c r="C11" s="33" t="s">
        <v>101</v>
      </c>
      <c r="D11" s="29"/>
      <c r="E11" s="11"/>
      <c r="F11" s="11"/>
      <c r="G11" s="11"/>
      <c r="H11" s="30" t="str">
        <f t="shared" si="0"/>
        <v>—</v>
      </c>
      <c r="I11" s="34" t="s">
        <v>281</v>
      </c>
      <c r="J11" s="34"/>
    </row>
    <row r="12" spans="1:10" ht="18" customHeight="1" x14ac:dyDescent="0.25">
      <c r="A12" s="10" t="s">
        <v>181</v>
      </c>
      <c r="B12" s="27" t="s">
        <v>110</v>
      </c>
      <c r="C12" s="28" t="s">
        <v>101</v>
      </c>
      <c r="D12" s="29"/>
      <c r="E12" s="11"/>
      <c r="F12" s="11"/>
      <c r="G12" s="11"/>
      <c r="H12" s="30" t="str">
        <f t="shared" si="0"/>
        <v>—</v>
      </c>
      <c r="I12" s="31" t="s">
        <v>281</v>
      </c>
      <c r="J12" s="31"/>
    </row>
    <row r="14" spans="1:10" ht="18" customHeight="1" x14ac:dyDescent="0.25">
      <c r="A14" s="3" t="s">
        <v>285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ht="30" customHeight="1" x14ac:dyDescent="0.25">
      <c r="A15" s="9" t="s">
        <v>76</v>
      </c>
      <c r="B15" s="9" t="s">
        <v>77</v>
      </c>
      <c r="C15" s="9" t="s">
        <v>41</v>
      </c>
      <c r="D15" s="9" t="s">
        <v>78</v>
      </c>
      <c r="E15" s="9" t="s">
        <v>79</v>
      </c>
      <c r="F15" s="9" t="s">
        <v>80</v>
      </c>
      <c r="G15" s="9" t="s">
        <v>81</v>
      </c>
      <c r="H15" s="9" t="s">
        <v>82</v>
      </c>
      <c r="I15" s="9" t="s">
        <v>83</v>
      </c>
      <c r="J15" s="9" t="s">
        <v>84</v>
      </c>
    </row>
    <row r="16" spans="1:10" ht="18" customHeight="1" x14ac:dyDescent="0.25">
      <c r="A16" s="10" t="s">
        <v>286</v>
      </c>
      <c r="B16" s="27" t="s">
        <v>86</v>
      </c>
      <c r="C16" s="28" t="s">
        <v>287</v>
      </c>
      <c r="D16" s="29"/>
      <c r="E16" s="11"/>
      <c r="F16" s="11"/>
      <c r="G16" s="11"/>
      <c r="H16" s="30" t="str">
        <f t="shared" ref="H16:H29" si="1">IF(E16="","—",IF(D16="","—",IF(ISNUMBER(D16),IF(E16&gt;=D16*1.1,"OUTPERFORM",IF(E16&gt;=D16*0.95,"ON TRACK",IF(E16&gt;=D16*0.85,"WATCH","ACTION"))),"—")))</f>
        <v>—</v>
      </c>
      <c r="I16" s="31" t="s">
        <v>281</v>
      </c>
      <c r="J16" s="31"/>
    </row>
    <row r="17" spans="1:10" ht="18" customHeight="1" x14ac:dyDescent="0.25">
      <c r="A17" s="14" t="s">
        <v>288</v>
      </c>
      <c r="B17" s="32" t="s">
        <v>86</v>
      </c>
      <c r="C17" s="33" t="s">
        <v>287</v>
      </c>
      <c r="D17" s="29"/>
      <c r="E17" s="11"/>
      <c r="F17" s="11"/>
      <c r="G17" s="11"/>
      <c r="H17" s="30" t="str">
        <f t="shared" si="1"/>
        <v>—</v>
      </c>
      <c r="I17" s="34" t="s">
        <v>281</v>
      </c>
      <c r="J17" s="34"/>
    </row>
    <row r="18" spans="1:10" ht="18" customHeight="1" x14ac:dyDescent="0.25">
      <c r="A18" s="10" t="s">
        <v>289</v>
      </c>
      <c r="B18" s="27" t="s">
        <v>86</v>
      </c>
      <c r="C18" s="28" t="s">
        <v>287</v>
      </c>
      <c r="D18" s="29"/>
      <c r="E18" s="11"/>
      <c r="F18" s="11"/>
      <c r="G18" s="11"/>
      <c r="H18" s="30" t="str">
        <f t="shared" si="1"/>
        <v>—</v>
      </c>
      <c r="I18" s="31" t="s">
        <v>281</v>
      </c>
      <c r="J18" s="31" t="s">
        <v>290</v>
      </c>
    </row>
    <row r="19" spans="1:10" ht="18" customHeight="1" x14ac:dyDescent="0.25">
      <c r="A19" s="14" t="s">
        <v>291</v>
      </c>
      <c r="B19" s="32" t="s">
        <v>86</v>
      </c>
      <c r="C19" s="33" t="s">
        <v>287</v>
      </c>
      <c r="D19" s="29"/>
      <c r="E19" s="11"/>
      <c r="F19" s="11"/>
      <c r="G19" s="11"/>
      <c r="H19" s="30" t="str">
        <f t="shared" si="1"/>
        <v>—</v>
      </c>
      <c r="I19" s="34" t="s">
        <v>281</v>
      </c>
      <c r="J19" s="34"/>
    </row>
    <row r="20" spans="1:10" ht="18" customHeight="1" x14ac:dyDescent="0.25">
      <c r="A20" s="10" t="s">
        <v>292</v>
      </c>
      <c r="B20" s="27" t="s">
        <v>86</v>
      </c>
      <c r="C20" s="28" t="s">
        <v>287</v>
      </c>
      <c r="D20" s="29"/>
      <c r="E20" s="11"/>
      <c r="F20" s="11"/>
      <c r="G20" s="11"/>
      <c r="H20" s="30" t="str">
        <f t="shared" si="1"/>
        <v>—</v>
      </c>
      <c r="I20" s="31" t="s">
        <v>281</v>
      </c>
      <c r="J20" s="31"/>
    </row>
    <row r="21" spans="1:10" ht="18" customHeight="1" x14ac:dyDescent="0.25">
      <c r="A21" s="14" t="s">
        <v>293</v>
      </c>
      <c r="B21" s="32" t="s">
        <v>86</v>
      </c>
      <c r="C21" s="33" t="s">
        <v>287</v>
      </c>
      <c r="D21" s="29"/>
      <c r="E21" s="11"/>
      <c r="F21" s="11"/>
      <c r="G21" s="11"/>
      <c r="H21" s="30" t="str">
        <f t="shared" si="1"/>
        <v>—</v>
      </c>
      <c r="I21" s="34" t="s">
        <v>281</v>
      </c>
      <c r="J21" s="34"/>
    </row>
    <row r="22" spans="1:10" ht="18" customHeight="1" x14ac:dyDescent="0.25">
      <c r="A22" s="10" t="s">
        <v>294</v>
      </c>
      <c r="B22" s="27" t="s">
        <v>86</v>
      </c>
      <c r="C22" s="28" t="s">
        <v>287</v>
      </c>
      <c r="D22" s="29"/>
      <c r="E22" s="11"/>
      <c r="F22" s="11"/>
      <c r="G22" s="11"/>
      <c r="H22" s="30" t="str">
        <f t="shared" si="1"/>
        <v>—</v>
      </c>
      <c r="I22" s="31" t="s">
        <v>281</v>
      </c>
      <c r="J22" s="31"/>
    </row>
    <row r="23" spans="1:10" ht="18" customHeight="1" x14ac:dyDescent="0.25">
      <c r="A23" s="14" t="s">
        <v>295</v>
      </c>
      <c r="B23" s="32" t="s">
        <v>86</v>
      </c>
      <c r="C23" s="33" t="s">
        <v>287</v>
      </c>
      <c r="D23" s="29"/>
      <c r="E23" s="11"/>
      <c r="F23" s="11"/>
      <c r="G23" s="11"/>
      <c r="H23" s="30" t="str">
        <f t="shared" si="1"/>
        <v>—</v>
      </c>
      <c r="I23" s="34" t="s">
        <v>281</v>
      </c>
      <c r="J23" s="34"/>
    </row>
    <row r="24" spans="1:10" ht="18" customHeight="1" x14ac:dyDescent="0.25">
      <c r="A24" s="10" t="s">
        <v>296</v>
      </c>
      <c r="B24" s="27" t="s">
        <v>86</v>
      </c>
      <c r="C24" s="28" t="s">
        <v>287</v>
      </c>
      <c r="D24" s="29"/>
      <c r="E24" s="11"/>
      <c r="F24" s="11"/>
      <c r="G24" s="11"/>
      <c r="H24" s="30" t="str">
        <f t="shared" si="1"/>
        <v>—</v>
      </c>
      <c r="I24" s="31" t="s">
        <v>281</v>
      </c>
      <c r="J24" s="31"/>
    </row>
    <row r="25" spans="1:10" ht="18" customHeight="1" x14ac:dyDescent="0.25">
      <c r="A25" s="14" t="s">
        <v>297</v>
      </c>
      <c r="B25" s="32" t="s">
        <v>86</v>
      </c>
      <c r="C25" s="33" t="s">
        <v>287</v>
      </c>
      <c r="D25" s="29"/>
      <c r="E25" s="11"/>
      <c r="F25" s="11"/>
      <c r="G25" s="11"/>
      <c r="H25" s="30" t="str">
        <f t="shared" si="1"/>
        <v>—</v>
      </c>
      <c r="I25" s="34" t="s">
        <v>281</v>
      </c>
      <c r="J25" s="34"/>
    </row>
    <row r="26" spans="1:10" ht="18" customHeight="1" x14ac:dyDescent="0.25">
      <c r="A26" s="10" t="s">
        <v>298</v>
      </c>
      <c r="B26" s="27" t="s">
        <v>86</v>
      </c>
      <c r="C26" s="28" t="s">
        <v>287</v>
      </c>
      <c r="D26" s="29"/>
      <c r="E26" s="11"/>
      <c r="F26" s="11"/>
      <c r="G26" s="11"/>
      <c r="H26" s="30" t="str">
        <f t="shared" si="1"/>
        <v>—</v>
      </c>
      <c r="I26" s="31" t="s">
        <v>281</v>
      </c>
      <c r="J26" s="31"/>
    </row>
    <row r="27" spans="1:10" ht="18" customHeight="1" x14ac:dyDescent="0.25">
      <c r="A27" s="14" t="s">
        <v>299</v>
      </c>
      <c r="B27" s="32" t="s">
        <v>86</v>
      </c>
      <c r="C27" s="33" t="s">
        <v>287</v>
      </c>
      <c r="D27" s="29"/>
      <c r="E27" s="11"/>
      <c r="F27" s="11"/>
      <c r="G27" s="11"/>
      <c r="H27" s="30" t="str">
        <f t="shared" si="1"/>
        <v>—</v>
      </c>
      <c r="I27" s="34" t="s">
        <v>281</v>
      </c>
      <c r="J27" s="34"/>
    </row>
    <row r="28" spans="1:10" ht="18" customHeight="1" x14ac:dyDescent="0.25">
      <c r="A28" s="10" t="s">
        <v>300</v>
      </c>
      <c r="B28" s="27" t="s">
        <v>107</v>
      </c>
      <c r="C28" s="28" t="s">
        <v>287</v>
      </c>
      <c r="D28" s="29"/>
      <c r="E28" s="11"/>
      <c r="F28" s="11"/>
      <c r="G28" s="11"/>
      <c r="H28" s="30" t="str">
        <f t="shared" si="1"/>
        <v>—</v>
      </c>
      <c r="I28" s="31" t="s">
        <v>281</v>
      </c>
      <c r="J28" s="31"/>
    </row>
    <row r="29" spans="1:10" ht="18" customHeight="1" x14ac:dyDescent="0.25">
      <c r="A29" s="14" t="s">
        <v>301</v>
      </c>
      <c r="B29" s="32" t="s">
        <v>110</v>
      </c>
      <c r="C29" s="33" t="s">
        <v>287</v>
      </c>
      <c r="D29" s="29"/>
      <c r="E29" s="11"/>
      <c r="F29" s="11"/>
      <c r="G29" s="11"/>
      <c r="H29" s="30" t="str">
        <f t="shared" si="1"/>
        <v>—</v>
      </c>
      <c r="I29" s="34" t="s">
        <v>281</v>
      </c>
      <c r="J29" s="34"/>
    </row>
  </sheetData>
  <mergeCells count="3">
    <mergeCell ref="A1:J1"/>
    <mergeCell ref="A4:J4"/>
    <mergeCell ref="A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I1"/>
    </sheetView>
  </sheetViews>
  <sheetFormatPr defaultColWidth="8.7109375" defaultRowHeight="15" x14ac:dyDescent="0.25"/>
  <cols>
    <col min="1" max="1" width="35" customWidth="1"/>
    <col min="2" max="3" width="22" customWidth="1"/>
    <col min="4" max="9" width="18" customWidth="1"/>
  </cols>
  <sheetData>
    <row r="1" spans="1:9" ht="31.5" customHeight="1" x14ac:dyDescent="0.25">
      <c r="A1" s="1" t="s">
        <v>302</v>
      </c>
      <c r="B1" s="1"/>
      <c r="C1" s="1"/>
      <c r="D1" s="1"/>
      <c r="E1" s="1"/>
      <c r="F1" s="1"/>
      <c r="G1" s="1"/>
      <c r="H1" s="1"/>
      <c r="I1" s="1"/>
    </row>
    <row r="2" spans="1:9" ht="15" customHeight="1" x14ac:dyDescent="0.25">
      <c r="A2" s="26" t="s">
        <v>303</v>
      </c>
    </row>
    <row r="4" spans="1:9" ht="15" customHeight="1" x14ac:dyDescent="0.25">
      <c r="A4" s="3" t="s">
        <v>304</v>
      </c>
      <c r="B4" s="3"/>
      <c r="C4" s="3"/>
      <c r="D4" s="3"/>
      <c r="E4" s="3"/>
      <c r="F4" s="3"/>
      <c r="G4" s="3"/>
      <c r="H4" s="3"/>
      <c r="I4" s="3"/>
    </row>
    <row r="5" spans="1:9" ht="15" customHeight="1" x14ac:dyDescent="0.25">
      <c r="A5" s="9" t="s">
        <v>305</v>
      </c>
      <c r="B5" s="9" t="s">
        <v>306</v>
      </c>
      <c r="C5" s="9" t="s">
        <v>307</v>
      </c>
      <c r="D5" s="9" t="s">
        <v>49</v>
      </c>
      <c r="E5" s="9" t="s">
        <v>51</v>
      </c>
      <c r="F5" s="9" t="s">
        <v>30</v>
      </c>
      <c r="G5" s="9" t="s">
        <v>53</v>
      </c>
      <c r="H5" s="9" t="s">
        <v>32</v>
      </c>
      <c r="I5" s="9" t="s">
        <v>308</v>
      </c>
    </row>
    <row r="6" spans="1:9" ht="18" customHeight="1" x14ac:dyDescent="0.25">
      <c r="A6" s="10" t="s">
        <v>309</v>
      </c>
      <c r="B6" s="35"/>
      <c r="C6" s="35"/>
      <c r="D6" s="35"/>
      <c r="E6" s="35"/>
      <c r="F6" s="35"/>
      <c r="G6" s="35"/>
      <c r="H6" s="35"/>
      <c r="I6" s="36">
        <f t="shared" ref="I6:I14" si="0">SUM(B6:H6)</f>
        <v>0</v>
      </c>
    </row>
    <row r="7" spans="1:9" ht="18" customHeight="1" x14ac:dyDescent="0.25">
      <c r="A7" s="14" t="s">
        <v>310</v>
      </c>
      <c r="B7" s="35"/>
      <c r="C7" s="35"/>
      <c r="D7" s="35"/>
      <c r="E7" s="35"/>
      <c r="F7" s="35"/>
      <c r="G7" s="35"/>
      <c r="H7" s="35"/>
      <c r="I7" s="36">
        <f t="shared" si="0"/>
        <v>0</v>
      </c>
    </row>
    <row r="8" spans="1:9" ht="18" customHeight="1" x14ac:dyDescent="0.25">
      <c r="A8" s="10" t="s">
        <v>311</v>
      </c>
      <c r="B8" s="35"/>
      <c r="C8" s="35"/>
      <c r="D8" s="35"/>
      <c r="E8" s="35"/>
      <c r="F8" s="35"/>
      <c r="G8" s="35"/>
      <c r="H8" s="35"/>
      <c r="I8" s="36">
        <f t="shared" si="0"/>
        <v>0</v>
      </c>
    </row>
    <row r="9" spans="1:9" ht="18" customHeight="1" x14ac:dyDescent="0.25">
      <c r="A9" s="14" t="s">
        <v>312</v>
      </c>
      <c r="B9" s="35"/>
      <c r="C9" s="35"/>
      <c r="D9" s="35"/>
      <c r="E9" s="35"/>
      <c r="F9" s="35"/>
      <c r="G9" s="35"/>
      <c r="H9" s="35"/>
      <c r="I9" s="36">
        <f t="shared" si="0"/>
        <v>0</v>
      </c>
    </row>
    <row r="10" spans="1:9" ht="18" customHeight="1" x14ac:dyDescent="0.25">
      <c r="A10" s="10" t="s">
        <v>313</v>
      </c>
      <c r="B10" s="35"/>
      <c r="C10" s="35"/>
      <c r="D10" s="35"/>
      <c r="E10" s="35"/>
      <c r="F10" s="35"/>
      <c r="G10" s="35"/>
      <c r="H10" s="35"/>
      <c r="I10" s="36">
        <f t="shared" si="0"/>
        <v>0</v>
      </c>
    </row>
    <row r="11" spans="1:9" ht="18" customHeight="1" x14ac:dyDescent="0.25">
      <c r="A11" s="14" t="s">
        <v>314</v>
      </c>
      <c r="B11" s="35"/>
      <c r="C11" s="35"/>
      <c r="D11" s="35"/>
      <c r="E11" s="35"/>
      <c r="F11" s="35"/>
      <c r="G11" s="35"/>
      <c r="H11" s="35"/>
      <c r="I11" s="36">
        <f t="shared" si="0"/>
        <v>0</v>
      </c>
    </row>
    <row r="12" spans="1:9" ht="18" customHeight="1" x14ac:dyDescent="0.25">
      <c r="A12" s="10" t="s">
        <v>315</v>
      </c>
      <c r="B12" s="35"/>
      <c r="C12" s="35"/>
      <c r="D12" s="35"/>
      <c r="E12" s="35"/>
      <c r="F12" s="35"/>
      <c r="G12" s="35"/>
      <c r="H12" s="35"/>
      <c r="I12" s="36">
        <f t="shared" si="0"/>
        <v>0</v>
      </c>
    </row>
    <row r="13" spans="1:9" ht="18" customHeight="1" x14ac:dyDescent="0.25">
      <c r="A13" s="14" t="s">
        <v>316</v>
      </c>
      <c r="B13" s="35"/>
      <c r="C13" s="35"/>
      <c r="D13" s="35"/>
      <c r="E13" s="35"/>
      <c r="F13" s="35"/>
      <c r="G13" s="35"/>
      <c r="H13" s="35"/>
      <c r="I13" s="36">
        <f t="shared" si="0"/>
        <v>0</v>
      </c>
    </row>
    <row r="14" spans="1:9" ht="18" customHeight="1" x14ac:dyDescent="0.25">
      <c r="A14" s="10" t="s">
        <v>317</v>
      </c>
      <c r="B14" s="35"/>
      <c r="C14" s="35"/>
      <c r="D14" s="35"/>
      <c r="E14" s="35"/>
      <c r="F14" s="35"/>
      <c r="G14" s="35"/>
      <c r="H14" s="35"/>
      <c r="I14" s="36">
        <f t="shared" si="0"/>
        <v>0</v>
      </c>
    </row>
    <row r="15" spans="1:9" ht="21.75" customHeight="1" x14ac:dyDescent="0.25">
      <c r="A15" s="37" t="s">
        <v>318</v>
      </c>
      <c r="B15" s="19">
        <f t="shared" ref="B15:I15" si="1">SUM(B6:B14)</f>
        <v>0</v>
      </c>
      <c r="C15" s="19">
        <f t="shared" si="1"/>
        <v>0</v>
      </c>
      <c r="D15" s="19">
        <f t="shared" si="1"/>
        <v>0</v>
      </c>
      <c r="E15" s="19">
        <f t="shared" si="1"/>
        <v>0</v>
      </c>
      <c r="F15" s="19">
        <f t="shared" si="1"/>
        <v>0</v>
      </c>
      <c r="G15" s="19">
        <f t="shared" si="1"/>
        <v>0</v>
      </c>
      <c r="H15" s="19">
        <f t="shared" si="1"/>
        <v>0</v>
      </c>
      <c r="I15" s="19">
        <f t="shared" si="1"/>
        <v>0</v>
      </c>
    </row>
    <row r="17" spans="1:9" ht="15" customHeight="1" x14ac:dyDescent="0.25">
      <c r="A17" s="3" t="s">
        <v>319</v>
      </c>
      <c r="B17" s="3"/>
      <c r="C17" s="3"/>
      <c r="D17" s="3"/>
      <c r="E17" s="3"/>
      <c r="F17" s="3"/>
      <c r="G17" s="3"/>
      <c r="H17" s="3"/>
      <c r="I17" s="3"/>
    </row>
    <row r="18" spans="1:9" ht="15" customHeight="1" x14ac:dyDescent="0.25">
      <c r="A18" s="9" t="s">
        <v>320</v>
      </c>
      <c r="B18" s="9" t="s">
        <v>321</v>
      </c>
      <c r="C18" s="9" t="s">
        <v>156</v>
      </c>
    </row>
    <row r="19" spans="1:9" ht="19.5" customHeight="1" x14ac:dyDescent="0.25">
      <c r="A19" s="13" t="s">
        <v>322</v>
      </c>
      <c r="B19" s="38">
        <f>SUM(I17,I37,I57,I77,I97,I117,I137)</f>
        <v>0</v>
      </c>
      <c r="C19" s="39"/>
    </row>
    <row r="20" spans="1:9" ht="19.5" customHeight="1" x14ac:dyDescent="0.25">
      <c r="A20" s="15" t="s">
        <v>323</v>
      </c>
      <c r="B20" s="38">
        <f>I15</f>
        <v>0</v>
      </c>
      <c r="C20" s="39"/>
    </row>
    <row r="21" spans="1:9" ht="19.5" customHeight="1" x14ac:dyDescent="0.25">
      <c r="A21" s="10" t="s">
        <v>324</v>
      </c>
      <c r="B21" s="40">
        <f>B19-B20</f>
        <v>0</v>
      </c>
      <c r="C21" s="39" t="str">
        <f>IF(B21=0,"✅ MATCHED","⚠ GAP — INVESTIGATE")</f>
        <v>✅ MATCHED</v>
      </c>
    </row>
  </sheetData>
  <mergeCells count="3">
    <mergeCell ref="A1:I1"/>
    <mergeCell ref="A4:I4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Report Names  </vt:lpstr>
      <vt:lpstr>Instructions</vt:lpstr>
      <vt:lpstr>Sequencing </vt:lpstr>
      <vt:lpstr>0 - Config &amp; PNL</vt:lpstr>
      <vt:lpstr>BAnk Position </vt:lpstr>
      <vt:lpstr>Hotels</vt:lpstr>
      <vt:lpstr>FnB</vt:lpstr>
      <vt:lpstr>Mickys</vt:lpstr>
      <vt:lpstr>Rabbits</vt:lpstr>
      <vt:lpstr>Purosoul</vt:lpstr>
      <vt:lpstr>Settlement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Angadh arora</cp:lastModifiedBy>
  <cp:revision>0</cp:revision>
  <dcterms:created xsi:type="dcterms:W3CDTF">2026-05-09T09:11:43Z</dcterms:created>
  <dcterms:modified xsi:type="dcterms:W3CDTF">2026-05-09T11:52:47Z</dcterms:modified>
  <dc:language>en-US</dc:language>
</cp:coreProperties>
</file>